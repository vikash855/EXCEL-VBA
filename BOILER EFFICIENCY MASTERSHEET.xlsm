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U:\Performance Test\BOILER EFFICIENCY\"/>
    </mc:Choice>
  </mc:AlternateContent>
  <bookViews>
    <workbookView xWindow="0" yWindow="0" windowWidth="21600" windowHeight="9735" tabRatio="601" firstSheet="2" activeTab="6"/>
  </bookViews>
  <sheets>
    <sheet name="Properties" sheetId="39" state="hidden" r:id="rId1"/>
    <sheet name="Functions" sheetId="41" state="hidden" r:id="rId2"/>
    <sheet name="DCS_ReportU1" sheetId="65" r:id="rId3"/>
    <sheet name="Inputs" sheetId="66" r:id="rId4"/>
    <sheet name="Boiler Efficiency" sheetId="67" r:id="rId5"/>
    <sheet name="Heat Rate" sheetId="68" state="hidden" r:id="rId6"/>
    <sheet name="SUMMARY" sheetId="70" r:id="rId7"/>
    <sheet name="SUMMARY (2)" sheetId="71" state="hidden" r:id="rId8"/>
    <sheet name="Conversion" sheetId="69" state="hidden" r:id="rId9"/>
  </sheets>
  <functionGroups builtInGroupCount="18"/>
  <externalReferences>
    <externalReference r:id="rId10"/>
  </externalReferences>
  <definedNames>
    <definedName name="_xlnm._FilterDatabase" localSheetId="4" hidden="1">'Boiler Efficiency'!$A$4:$N$18</definedName>
    <definedName name="aaa" localSheetId="7">OFFSET(#REF!,0,0,COUNTA(#REF!)-4,1)</definedName>
    <definedName name="aaa">OFFSET(#REF!,0,0,COUNTA(#REF!)-4,1)</definedName>
    <definedName name="aaaa" localSheetId="7">OFFSET(#REF!,0,0,COUNTA(#REF!)-4,1)</definedName>
    <definedName name="aaaa">OFFSET(#REF!,0,0,COUNTA(#REF!)-4,1)</definedName>
    <definedName name="AH_A_I_L_TEMP" localSheetId="4">OFFSET(#REF!,0,0,COUNTA(#REF!)-4,1)</definedName>
    <definedName name="AH_A_I_L_TEMP" localSheetId="8">OFFSET(#REF!,0,0,COUNTA(#REF!)-4,1)</definedName>
    <definedName name="AH_A_I_L_TEMP" localSheetId="2">OFFSET(#REF!,0,0,COUNTA(#REF!)-4,1)</definedName>
    <definedName name="AH_A_I_L_TEMP" localSheetId="5">OFFSET(#REF!,0,0,COUNTA(#REF!)-4,1)</definedName>
    <definedName name="AH_A_I_L_TEMP" localSheetId="3">OFFSET(#REF!,0,0,COUNTA(#REF!)-4,1)</definedName>
    <definedName name="AH_A_I_L_TEMP" localSheetId="7">OFFSET(#REF!,0,0,COUNTA(#REF!)-4,1)</definedName>
    <definedName name="AH_A_I_L_TEMP">OFFSET(#REF!,0,0,COUNTA(#REF!)-4,1)</definedName>
    <definedName name="AH_A_O_L_TEMP" localSheetId="4">OFFSET(#REF!,0,0,COUNTA(#REF!)-4,1)</definedName>
    <definedName name="AH_A_O_L_TEMP" localSheetId="8">OFFSET(#REF!,0,0,COUNTA(#REF!)-4,1)</definedName>
    <definedName name="AH_A_O_L_TEMP" localSheetId="2">OFFSET(#REF!,0,0,COUNTA(#REF!)-4,1)</definedName>
    <definedName name="AH_A_O_L_TEMP" localSheetId="5">OFFSET(#REF!,0,0,COUNTA(#REF!)-4,1)</definedName>
    <definedName name="AH_A_O_L_TEMP" localSheetId="3">OFFSET(#REF!,0,0,COUNTA(#REF!)-4,1)</definedName>
    <definedName name="AH_A_O_L_TEMP" localSheetId="7">OFFSET(#REF!,0,0,COUNTA(#REF!)-4,1)</definedName>
    <definedName name="AH_A_O_L_TEMP">OFFSET(#REF!,0,0,COUNTA(#REF!)-4,1)</definedName>
    <definedName name="AH_B_I_L_TMP" localSheetId="4">OFFSET(#REF!,0,0,COUNTA(#REF!)-4,1)</definedName>
    <definedName name="AH_B_I_L_TMP" localSheetId="8">OFFSET(#REF!,0,0,COUNTA(#REF!)-4,1)</definedName>
    <definedName name="AH_B_I_L_TMP" localSheetId="2">OFFSET(#REF!,0,0,COUNTA(#REF!)-4,1)</definedName>
    <definedName name="AH_B_I_L_TMP" localSheetId="5">OFFSET(#REF!,0,0,COUNTA(#REF!)-4,1)</definedName>
    <definedName name="AH_B_I_L_TMP" localSheetId="3">OFFSET(#REF!,0,0,COUNTA(#REF!)-4,1)</definedName>
    <definedName name="AH_B_I_L_TMP" localSheetId="7">OFFSET(#REF!,0,0,COUNTA(#REF!)-4,1)</definedName>
    <definedName name="AH_B_I_L_TMP">OFFSET(#REF!,0,0,COUNTA(#REF!)-4,1)</definedName>
    <definedName name="AH_B_O_L_TMP" localSheetId="4">OFFSET(#REF!,0,0,COUNTA(#REF!)-4,1)</definedName>
    <definedName name="AH_B_O_L_TMP" localSheetId="8">OFFSET(#REF!,0,0,COUNTA(#REF!)-4,1)</definedName>
    <definedName name="AH_B_O_L_TMP" localSheetId="2">OFFSET(#REF!,0,0,COUNTA(#REF!)-4,1)</definedName>
    <definedName name="AH_B_O_L_TMP" localSheetId="5">OFFSET(#REF!,0,0,COUNTA(#REF!)-4,1)</definedName>
    <definedName name="AH_B_O_L_TMP" localSheetId="3">OFFSET(#REF!,0,0,COUNTA(#REF!)-4,1)</definedName>
    <definedName name="AH_B_O_L_TMP" localSheetId="7">OFFSET(#REF!,0,0,COUNTA(#REF!)-4,1)</definedName>
    <definedName name="AH_B_O_L_TMP">OFFSET(#REF!,0,0,COUNTA(#REF!)-4,1)</definedName>
    <definedName name="AIR_HEATER__A_O_L_FG_TEMP_RIGHT" localSheetId="4">OFFSET(#REF!,0,0,COUNTA(#REF!)-4,1)</definedName>
    <definedName name="AIR_HEATER__A_O_L_FG_TEMP_RIGHT" localSheetId="8">OFFSET(#REF!,0,0,COUNTA(#REF!)-4,1)</definedName>
    <definedName name="AIR_HEATER__A_O_L_FG_TEMP_RIGHT" localSheetId="2">OFFSET(#REF!,0,0,COUNTA(#REF!)-4,1)</definedName>
    <definedName name="AIR_HEATER__A_O_L_FG_TEMP_RIGHT" localSheetId="5">OFFSET(#REF!,0,0,COUNTA(#REF!)-4,1)</definedName>
    <definedName name="AIR_HEATER__A_O_L_FG_TEMP_RIGHT" localSheetId="3">OFFSET(#REF!,0,0,COUNTA(#REF!)-4,1)</definedName>
    <definedName name="AIR_HEATER__A_O_L_FG_TEMP_RIGHT" localSheetId="7">OFFSET(#REF!,0,0,COUNTA(#REF!)-4,1)</definedName>
    <definedName name="AIR_HEATER__A_O_L_FG_TEMP_RIGHT">OFFSET(#REF!,0,0,COUNTA(#REF!)-4,1)</definedName>
    <definedName name="APH_O_L_PA_TEMP" localSheetId="4">OFFSET(#REF!,0,0,COUNTA(#REF!)-4,1)</definedName>
    <definedName name="APH_O_L_PA_TEMP" localSheetId="8">OFFSET(#REF!,0,0,COUNTA(#REF!)-4,1)</definedName>
    <definedName name="APH_O_L_PA_TEMP" localSheetId="2">OFFSET(#REF!,0,0,COUNTA(#REF!)-4,1)</definedName>
    <definedName name="APH_O_L_PA_TEMP" localSheetId="5">OFFSET(#REF!,0,0,COUNTA(#REF!)-4,1)</definedName>
    <definedName name="APH_O_L_PA_TEMP" localSheetId="3">OFFSET(#REF!,0,0,COUNTA(#REF!)-4,1)</definedName>
    <definedName name="APH_O_L_PA_TEMP" localSheetId="7">OFFSET(#REF!,0,0,COUNTA(#REF!)-4,1)</definedName>
    <definedName name="APH_O_L_PA_TEMP">OFFSET(#REF!,0,0,COUNTA(#REF!)-4,1)</definedName>
    <definedName name="Ash" localSheetId="4">OFFSET(#REF!,0,0,COUNTA(#REF!)-4,1)</definedName>
    <definedName name="Ash" localSheetId="8">OFFSET(#REF!,0,0,COUNTA(#REF!)-4,1)</definedName>
    <definedName name="Ash" localSheetId="2">OFFSET(#REF!,0,0,COUNTA(#REF!)-4,1)</definedName>
    <definedName name="Ash" localSheetId="5">OFFSET(#REF!,0,0,COUNTA(#REF!)-4,1)</definedName>
    <definedName name="Ash" localSheetId="3">OFFSET(#REF!,0,0,COUNTA(#REF!)-4,1)</definedName>
    <definedName name="Ash" localSheetId="7">OFFSET(#REF!,0,0,COUNTA(#REF!)-4,1)</definedName>
    <definedName name="Ash">OFFSET(#REF!,0,0,COUNTA(#REF!)-4,1)</definedName>
    <definedName name="Avg_O2_in_flue_gas_Inlet_of_APH" localSheetId="4">OFFSET(#REF!,0,0,COUNTA(#REF!)-4,1)</definedName>
    <definedName name="Avg_O2_in_flue_gas_Inlet_of_APH" localSheetId="8">OFFSET(#REF!,0,0,COUNTA(#REF!)-4,1)</definedName>
    <definedName name="Avg_O2_in_flue_gas_Inlet_of_APH" localSheetId="2">OFFSET(#REF!,0,0,COUNTA(#REF!)-4,1)</definedName>
    <definedName name="Avg_O2_in_flue_gas_Inlet_of_APH" localSheetId="5">OFFSET(#REF!,0,0,COUNTA(#REF!)-4,1)</definedName>
    <definedName name="Avg_O2_in_flue_gas_Inlet_of_APH" localSheetId="3">OFFSET(#REF!,0,0,COUNTA(#REF!)-4,1)</definedName>
    <definedName name="Avg_O2_in_flue_gas_Inlet_of_APH" localSheetId="7">OFFSET(#REF!,0,0,COUNTA(#REF!)-4,1)</definedName>
    <definedName name="Avg_O2_in_flue_gas_Inlet_of_APH">OFFSET(#REF!,0,0,COUNTA(#REF!)-4,1)</definedName>
    <definedName name="BA_Combustible" localSheetId="4">OFFSET(#REF!,0,0,COUNTA(#REF!)-4,1)</definedName>
    <definedName name="BA_Combustible" localSheetId="8">OFFSET(#REF!,0,0,COUNTA(#REF!)-4,1)</definedName>
    <definedName name="BA_Combustible" localSheetId="2">OFFSET(#REF!,0,0,COUNTA(#REF!)-4,1)</definedName>
    <definedName name="BA_Combustible" localSheetId="5">OFFSET(#REF!,0,0,COUNTA(#REF!)-4,1)</definedName>
    <definedName name="BA_Combustible" localSheetId="3">OFFSET(#REF!,0,0,COUNTA(#REF!)-4,1)</definedName>
    <definedName name="BA_Combustible" localSheetId="7">OFFSET(#REF!,0,0,COUNTA(#REF!)-4,1)</definedName>
    <definedName name="BA_Combustible">OFFSET(#REF!,0,0,COUNTA(#REF!)-4,1)</definedName>
    <definedName name="bfp_disch_hdr_pr" localSheetId="4">OFFSET(#REF!,0,0,COUNTA(#REF!)-4,1)</definedName>
    <definedName name="bfp_disch_hdr_pr" localSheetId="8">OFFSET(#REF!,0,0,COUNTA(#REF!)-4,1)</definedName>
    <definedName name="bfp_disch_hdr_pr" localSheetId="2">OFFSET(#REF!,0,0,COUNTA(#REF!)-4,1)</definedName>
    <definedName name="bfp_disch_hdr_pr" localSheetId="5">OFFSET(#REF!,0,0,COUNTA(#REF!)-4,1)</definedName>
    <definedName name="bfp_disch_hdr_pr" localSheetId="3">OFFSET(#REF!,0,0,COUNTA(#REF!)-4,1)</definedName>
    <definedName name="bfp_disch_hdr_pr" localSheetId="7">OFFSET(#REF!,0,0,COUNTA(#REF!)-4,1)</definedName>
    <definedName name="bfp_disch_hdr_pr">OFFSET(#REF!,0,0,COUNTA(#REF!)-4,1)</definedName>
    <definedName name="C_" localSheetId="4">OFFSET(#REF!,0,0,COUNTA(#REF!)-4,1)</definedName>
    <definedName name="C_" localSheetId="8">OFFSET(#REF!,0,0,COUNTA(#REF!)-4,1)</definedName>
    <definedName name="C_" localSheetId="2">OFFSET(#REF!,0,0,COUNTA(#REF!)-4,1)</definedName>
    <definedName name="C_" localSheetId="5">OFFSET(#REF!,0,0,COUNTA(#REF!)-4,1)</definedName>
    <definedName name="C_" localSheetId="3">OFFSET(#REF!,0,0,COUNTA(#REF!)-4,1)</definedName>
    <definedName name="C_" localSheetId="7">OFFSET(#REF!,0,0,COUNTA(#REF!)-4,1)</definedName>
    <definedName name="C_">OFFSET(#REF!,0,0,COUNTA(#REF!)-4,1)</definedName>
    <definedName name="CalenderDateRange" localSheetId="4">OFFSET(#REF!,0,0,COUNTA(#REF!)-4,1)</definedName>
    <definedName name="CalenderDateRange" localSheetId="8">OFFSET(#REF!,0,0,COUNTA(#REF!)-4,1)</definedName>
    <definedName name="CalenderDateRange" localSheetId="2">OFFSET(#REF!,0,0,COUNTA(#REF!)-4,1)</definedName>
    <definedName name="CalenderDateRange" localSheetId="5">OFFSET(#REF!,0,0,COUNTA(#REF!)-4,1)</definedName>
    <definedName name="CalenderDateRange" localSheetId="3">OFFSET(#REF!,0,0,COUNTA(#REF!)-4,1)</definedName>
    <definedName name="CalenderDateRange" localSheetId="7">OFFSET(#REF!,0,0,COUNTA(#REF!)-4,1)</definedName>
    <definedName name="CalenderDateRange">OFFSET(#REF!,0,0,COUNTA(#REF!)-4,1)</definedName>
    <definedName name="Carbon_in_Botm_Ash" localSheetId="4">OFFSET(#REF!,0,0,COUNTA(#REF!)-4,1)</definedName>
    <definedName name="Carbon_in_Botm_Ash" localSheetId="8">OFFSET(#REF!,0,0,COUNTA(#REF!)-4,1)</definedName>
    <definedName name="Carbon_in_Botm_Ash" localSheetId="2">OFFSET(#REF!,0,0,COUNTA(#REF!)-4,1)</definedName>
    <definedName name="Carbon_in_Botm_Ash" localSheetId="5">OFFSET(#REF!,0,0,COUNTA(#REF!)-4,1)</definedName>
    <definedName name="Carbon_in_Botm_Ash" localSheetId="3">OFFSET(#REF!,0,0,COUNTA(#REF!)-4,1)</definedName>
    <definedName name="Carbon_in_Botm_Ash" localSheetId="7">OFFSET(#REF!,0,0,COUNTA(#REF!)-4,1)</definedName>
    <definedName name="Carbon_in_Botm_Ash">OFFSET(#REF!,0,0,COUNTA(#REF!)-4,1)</definedName>
    <definedName name="Carbon_in_Botm_Ash___kg_of_coal" localSheetId="4">OFFSET(#REF!,0,0,COUNTA(#REF!)-4,1)</definedName>
    <definedName name="Carbon_in_Botm_Ash___kg_of_coal" localSheetId="8">OFFSET(#REF!,0,0,COUNTA(#REF!)-4,1)</definedName>
    <definedName name="Carbon_in_Botm_Ash___kg_of_coal" localSheetId="2">OFFSET(#REF!,0,0,COUNTA(#REF!)-4,1)</definedName>
    <definedName name="Carbon_in_Botm_Ash___kg_of_coal" localSheetId="5">OFFSET(#REF!,0,0,COUNTA(#REF!)-4,1)</definedName>
    <definedName name="Carbon_in_Botm_Ash___kg_of_coal" localSheetId="3">OFFSET(#REF!,0,0,COUNTA(#REF!)-4,1)</definedName>
    <definedName name="Carbon_in_Botm_Ash___kg_of_coal" localSheetId="7">OFFSET(#REF!,0,0,COUNTA(#REF!)-4,1)</definedName>
    <definedName name="Carbon_in_Botm_Ash___kg_of_coal">OFFSET(#REF!,0,0,COUNTA(#REF!)-4,1)</definedName>
    <definedName name="Carbon_in_Fly_Ash" localSheetId="4">OFFSET(#REF!,0,0,COUNTA(#REF!)-4,1)</definedName>
    <definedName name="Carbon_in_Fly_Ash" localSheetId="8">OFFSET(#REF!,0,0,COUNTA(#REF!)-4,1)</definedName>
    <definedName name="Carbon_in_Fly_Ash" localSheetId="2">OFFSET(#REF!,0,0,COUNTA(#REF!)-4,1)</definedName>
    <definedName name="Carbon_in_Fly_Ash" localSheetId="5">OFFSET(#REF!,0,0,COUNTA(#REF!)-4,1)</definedName>
    <definedName name="Carbon_in_Fly_Ash" localSheetId="3">OFFSET(#REF!,0,0,COUNTA(#REF!)-4,1)</definedName>
    <definedName name="Carbon_in_Fly_Ash" localSheetId="7">OFFSET(#REF!,0,0,COUNTA(#REF!)-4,1)</definedName>
    <definedName name="Carbon_in_Fly_Ash">OFFSET(#REF!,0,0,COUNTA(#REF!)-4,1)</definedName>
    <definedName name="Carbon_in_fly_ash___Kg_of_coal" localSheetId="4">OFFSET(#REF!,0,0,COUNTA(#REF!)-4,1)</definedName>
    <definedName name="Carbon_in_fly_ash___Kg_of_coal" localSheetId="8">OFFSET(#REF!,0,0,COUNTA(#REF!)-4,1)</definedName>
    <definedName name="Carbon_in_fly_ash___Kg_of_coal" localSheetId="2">OFFSET(#REF!,0,0,COUNTA(#REF!)-4,1)</definedName>
    <definedName name="Carbon_in_fly_ash___Kg_of_coal" localSheetId="5">OFFSET(#REF!,0,0,COUNTA(#REF!)-4,1)</definedName>
    <definedName name="Carbon_in_fly_ash___Kg_of_coal" localSheetId="3">OFFSET(#REF!,0,0,COUNTA(#REF!)-4,1)</definedName>
    <definedName name="Carbon_in_fly_ash___Kg_of_coal" localSheetId="7">OFFSET(#REF!,0,0,COUNTA(#REF!)-4,1)</definedName>
    <definedName name="Carbon_in_fly_ash___Kg_of_coal">OFFSET(#REF!,0,0,COUNTA(#REF!)-4,1)</definedName>
    <definedName name="COND_TMP_AT_LPH_1_O_L" localSheetId="4">OFFSET(#REF!,0,0,COUNTA(#REF!)-4,1)</definedName>
    <definedName name="COND_TMP_AT_LPH_1_O_L" localSheetId="8">OFFSET(#REF!,0,0,COUNTA(#REF!)-4,1)</definedName>
    <definedName name="COND_TMP_AT_LPH_1_O_L" localSheetId="2">OFFSET(#REF!,0,0,COUNTA(#REF!)-4,1)</definedName>
    <definedName name="COND_TMP_AT_LPH_1_O_L" localSheetId="5">OFFSET(#REF!,0,0,COUNTA(#REF!)-4,1)</definedName>
    <definedName name="COND_TMP_AT_LPH_1_O_L" localSheetId="3">OFFSET(#REF!,0,0,COUNTA(#REF!)-4,1)</definedName>
    <definedName name="COND_TMP_AT_LPH_1_O_L" localSheetId="7">OFFSET(#REF!,0,0,COUNTA(#REF!)-4,1)</definedName>
    <definedName name="COND_TMP_AT_LPH_1_O_L">OFFSET(#REF!,0,0,COUNTA(#REF!)-4,1)</definedName>
    <definedName name="COND_TMP_AT_LPH_2_O_L" localSheetId="4">OFFSET(#REF!,0,0,COUNTA(#REF!)-4,1)</definedName>
    <definedName name="COND_TMP_AT_LPH_2_O_L" localSheetId="8">OFFSET(#REF!,0,0,COUNTA(#REF!)-4,1)</definedName>
    <definedName name="COND_TMP_AT_LPH_2_O_L" localSheetId="2">OFFSET(#REF!,0,0,COUNTA(#REF!)-4,1)</definedName>
    <definedName name="COND_TMP_AT_LPH_2_O_L" localSheetId="5">OFFSET(#REF!,0,0,COUNTA(#REF!)-4,1)</definedName>
    <definedName name="COND_TMP_AT_LPH_2_O_L" localSheetId="3">OFFSET(#REF!,0,0,COUNTA(#REF!)-4,1)</definedName>
    <definedName name="COND_TMP_AT_LPH_2_O_L" localSheetId="7">OFFSET(#REF!,0,0,COUNTA(#REF!)-4,1)</definedName>
    <definedName name="COND_TMP_AT_LPH_2_O_L">OFFSET(#REF!,0,0,COUNTA(#REF!)-4,1)</definedName>
    <definedName name="CONDENSER_PR_1" localSheetId="4">OFFSET(#REF!,0,0,COUNTA(#REF!)-4,1)</definedName>
    <definedName name="CONDENSER_PR_1" localSheetId="8">OFFSET(#REF!,0,0,COUNTA(#REF!)-4,1)</definedName>
    <definedName name="CONDENSER_PR_1" localSheetId="2">OFFSET(#REF!,0,0,COUNTA(#REF!)-4,1)</definedName>
    <definedName name="CONDENSER_PR_1" localSheetId="5">OFFSET(#REF!,0,0,COUNTA(#REF!)-4,1)</definedName>
    <definedName name="CONDENSER_PR_1" localSheetId="3">OFFSET(#REF!,0,0,COUNTA(#REF!)-4,1)</definedName>
    <definedName name="CONDENSER_PR_1" localSheetId="7">OFFSET(#REF!,0,0,COUNTA(#REF!)-4,1)</definedName>
    <definedName name="CONDENSER_PR_1">OFFSET(#REF!,0,0,COUNTA(#REF!)-4,1)</definedName>
    <definedName name="CONDENSER_PR_2" localSheetId="4">OFFSET(#REF!,0,0,COUNTA(#REF!)-4,1)</definedName>
    <definedName name="CONDENSER_PR_2" localSheetId="8">OFFSET(#REF!,0,0,COUNTA(#REF!)-4,1)</definedName>
    <definedName name="CONDENSER_PR_2" localSheetId="2">OFFSET(#REF!,0,0,COUNTA(#REF!)-4,1)</definedName>
    <definedName name="CONDENSER_PR_2" localSheetId="5">OFFSET(#REF!,0,0,COUNTA(#REF!)-4,1)</definedName>
    <definedName name="CONDENSER_PR_2" localSheetId="3">OFFSET(#REF!,0,0,COUNTA(#REF!)-4,1)</definedName>
    <definedName name="CONDENSER_PR_2" localSheetId="7">OFFSET(#REF!,0,0,COUNTA(#REF!)-4,1)</definedName>
    <definedName name="CONDENSER_PR_2">OFFSET(#REF!,0,0,COUNTA(#REF!)-4,1)</definedName>
    <definedName name="CRH_PRESSURE" localSheetId="4">OFFSET(#REF!,0,0,COUNTA(#REF!)-4,1)</definedName>
    <definedName name="CRH_PRESSURE" localSheetId="8">OFFSET(#REF!,0,0,COUNTA(#REF!)-4,1)</definedName>
    <definedName name="CRH_PRESSURE" localSheetId="2">OFFSET(#REF!,0,0,COUNTA(#REF!)-4,1)</definedName>
    <definedName name="CRH_PRESSURE" localSheetId="5">OFFSET(#REF!,0,0,COUNTA(#REF!)-4,1)</definedName>
    <definedName name="CRH_PRESSURE" localSheetId="3">OFFSET(#REF!,0,0,COUNTA(#REF!)-4,1)</definedName>
    <definedName name="CRH_PRESSURE" localSheetId="7">OFFSET(#REF!,0,0,COUNTA(#REF!)-4,1)</definedName>
    <definedName name="CRH_PRESSURE">OFFSET(#REF!,0,0,COUNTA(#REF!)-4,1)</definedName>
    <definedName name="CRH_TEMP" localSheetId="4">OFFSET(#REF!,0,0,COUNTA(#REF!)-4,1)</definedName>
    <definedName name="CRH_TEMP" localSheetId="8">OFFSET(#REF!,0,0,COUNTA(#REF!)-4,1)</definedName>
    <definedName name="CRH_TEMP" localSheetId="2">OFFSET(#REF!,0,0,COUNTA(#REF!)-4,1)</definedName>
    <definedName name="CRH_TEMP" localSheetId="5">OFFSET(#REF!,0,0,COUNTA(#REF!)-4,1)</definedName>
    <definedName name="CRH_TEMP" localSheetId="3">OFFSET(#REF!,0,0,COUNTA(#REF!)-4,1)</definedName>
    <definedName name="CRH_TEMP" localSheetId="7">OFFSET(#REF!,0,0,COUNTA(#REF!)-4,1)</definedName>
    <definedName name="CRH_TEMP">OFFSET(#REF!,0,0,COUNTA(#REF!)-4,1)</definedName>
    <definedName name="CW_1_I_L_TEMP" localSheetId="4">OFFSET(#REF!,0,0,COUNTA(#REF!)-4,1)</definedName>
    <definedName name="CW_1_I_L_TEMP" localSheetId="8">OFFSET(#REF!,0,0,COUNTA(#REF!)-4,1)</definedName>
    <definedName name="CW_1_I_L_TEMP" localSheetId="2">OFFSET(#REF!,0,0,COUNTA(#REF!)-4,1)</definedName>
    <definedName name="CW_1_I_L_TEMP" localSheetId="5">OFFSET(#REF!,0,0,COUNTA(#REF!)-4,1)</definedName>
    <definedName name="CW_1_I_L_TEMP" localSheetId="3">OFFSET(#REF!,0,0,COUNTA(#REF!)-4,1)</definedName>
    <definedName name="CW_1_I_L_TEMP" localSheetId="7">OFFSET(#REF!,0,0,COUNTA(#REF!)-4,1)</definedName>
    <definedName name="CW_1_I_L_TEMP">OFFSET(#REF!,0,0,COUNTA(#REF!)-4,1)</definedName>
    <definedName name="CW_1_OUTLET_TEMP" localSheetId="4">OFFSET(#REF!,0,0,COUNTA(#REF!)-4,1)</definedName>
    <definedName name="CW_1_OUTLET_TEMP" localSheetId="8">OFFSET(#REF!,0,0,COUNTA(#REF!)-4,1)</definedName>
    <definedName name="CW_1_OUTLET_TEMP" localSheetId="2">OFFSET(#REF!,0,0,COUNTA(#REF!)-4,1)</definedName>
    <definedName name="CW_1_OUTLET_TEMP" localSheetId="5">OFFSET(#REF!,0,0,COUNTA(#REF!)-4,1)</definedName>
    <definedName name="CW_1_OUTLET_TEMP" localSheetId="3">OFFSET(#REF!,0,0,COUNTA(#REF!)-4,1)</definedName>
    <definedName name="CW_1_OUTLET_TEMP" localSheetId="7">OFFSET(#REF!,0,0,COUNTA(#REF!)-4,1)</definedName>
    <definedName name="CW_1_OUTLET_TEMP">OFFSET(#REF!,0,0,COUNTA(#REF!)-4,1)</definedName>
    <definedName name="CW_2_I_L_TEMP" localSheetId="4">OFFSET(#REF!,0,0,COUNTA(#REF!)-4,1)</definedName>
    <definedName name="CW_2_I_L_TEMP" localSheetId="8">OFFSET(#REF!,0,0,COUNTA(#REF!)-4,1)</definedName>
    <definedName name="CW_2_I_L_TEMP" localSheetId="2">OFFSET(#REF!,0,0,COUNTA(#REF!)-4,1)</definedName>
    <definedName name="CW_2_I_L_TEMP" localSheetId="5">OFFSET(#REF!,0,0,COUNTA(#REF!)-4,1)</definedName>
    <definedName name="CW_2_I_L_TEMP" localSheetId="3">OFFSET(#REF!,0,0,COUNTA(#REF!)-4,1)</definedName>
    <definedName name="CW_2_I_L_TEMP" localSheetId="7">OFFSET(#REF!,0,0,COUNTA(#REF!)-4,1)</definedName>
    <definedName name="CW_2_I_L_TEMP">OFFSET(#REF!,0,0,COUNTA(#REF!)-4,1)</definedName>
    <definedName name="CW_2_O_L_TEMP" localSheetId="4">OFFSET(#REF!,0,0,COUNTA(#REF!)-4,1)</definedName>
    <definedName name="CW_2_O_L_TEMP" localSheetId="8">OFFSET(#REF!,0,0,COUNTA(#REF!)-4,1)</definedName>
    <definedName name="CW_2_O_L_TEMP" localSheetId="2">OFFSET(#REF!,0,0,COUNTA(#REF!)-4,1)</definedName>
    <definedName name="CW_2_O_L_TEMP" localSheetId="5">OFFSET(#REF!,0,0,COUNTA(#REF!)-4,1)</definedName>
    <definedName name="CW_2_O_L_TEMP" localSheetId="3">OFFSET(#REF!,0,0,COUNTA(#REF!)-4,1)</definedName>
    <definedName name="CW_2_O_L_TEMP" localSheetId="7">OFFSET(#REF!,0,0,COUNTA(#REF!)-4,1)</definedName>
    <definedName name="CW_2_O_L_TEMP">OFFSET(#REF!,0,0,COUNTA(#REF!)-4,1)</definedName>
    <definedName name="DataDateList" localSheetId="4">OFFSET(#REF!,0,0,COUNTA(#REF!)-2,1)</definedName>
    <definedName name="DataDateList" localSheetId="8">OFFSET(#REF!,0,0,COUNTA(#REF!)-2,1)</definedName>
    <definedName name="DataDateList" localSheetId="2">OFFSET(#REF!,0,0,COUNTA(#REF!)-2,1)</definedName>
    <definedName name="DataDateList" localSheetId="5">OFFSET(#REF!,0,0,COUNTA(#REF!)-2,1)</definedName>
    <definedName name="DataDateList" localSheetId="3">OFFSET(#REF!,0,0,COUNTA(#REF!)-2,1)</definedName>
    <definedName name="DataDateList" localSheetId="7">OFFSET(#REF!,0,0,COUNTA(#REF!)-2,1)</definedName>
    <definedName name="DataDateList">OFFSET(#REF!,0,0,COUNTA(#REF!)-2,1)</definedName>
    <definedName name="Date_Value_List" localSheetId="4">#REF!</definedName>
    <definedName name="Date_Value_List" localSheetId="8">#REF!</definedName>
    <definedName name="Date_Value_List" localSheetId="2">#REF!</definedName>
    <definedName name="Date_Value_List" localSheetId="5">#REF!</definedName>
    <definedName name="Date_Value_List" localSheetId="3">#REF!</definedName>
    <definedName name="Date_Value_List" localSheetId="7">#REF!</definedName>
    <definedName name="Date_Value_List">#REF!</definedName>
    <definedName name="dayrange" localSheetId="4">OFFSET(#REF!,0,0,COUNTA(#REF!)-4,1)</definedName>
    <definedName name="dayrange" localSheetId="8">OFFSET(#REF!,0,0,COUNTA(#REF!)-4,1)</definedName>
    <definedName name="dayrange" localSheetId="2">OFFSET(#REF!,0,0,COUNTA(#REF!)-4,1)</definedName>
    <definedName name="dayrange" localSheetId="5">OFFSET(#REF!,0,0,COUNTA(#REF!)-4,1)</definedName>
    <definedName name="dayrange" localSheetId="3">OFFSET(#REF!,0,0,COUNTA(#REF!)-4,1)</definedName>
    <definedName name="dayrange" localSheetId="7">OFFSET(#REF!,0,0,COUNTA(#REF!)-4,1)</definedName>
    <definedName name="dayrange">OFFSET(#REF!,0,0,COUNTA(#REF!)-4,1)</definedName>
    <definedName name="DEARATOE__FST__TEMP" localSheetId="4">OFFSET(#REF!,0,0,COUNTA(#REF!)-4,1)</definedName>
    <definedName name="DEARATOE__FST__TEMP" localSheetId="8">OFFSET(#REF!,0,0,COUNTA(#REF!)-4,1)</definedName>
    <definedName name="DEARATOE__FST__TEMP" localSheetId="2">OFFSET(#REF!,0,0,COUNTA(#REF!)-4,1)</definedName>
    <definedName name="DEARATOE__FST__TEMP" localSheetId="5">OFFSET(#REF!,0,0,COUNTA(#REF!)-4,1)</definedName>
    <definedName name="DEARATOE__FST__TEMP" localSheetId="3">OFFSET(#REF!,0,0,COUNTA(#REF!)-4,1)</definedName>
    <definedName name="DEARATOE__FST__TEMP" localSheetId="7">OFFSET(#REF!,0,0,COUNTA(#REF!)-4,1)</definedName>
    <definedName name="DEARATOE__FST__TEMP">OFFSET(#REF!,0,0,COUNTA(#REF!)-4,1)</definedName>
    <definedName name="DEARATOE_PRESSURE" localSheetId="4">OFFSET(#REF!,0,0,COUNTA(#REF!)-4,1)</definedName>
    <definedName name="DEARATOE_PRESSURE" localSheetId="8">OFFSET(#REF!,0,0,COUNTA(#REF!)-4,1)</definedName>
    <definedName name="DEARATOE_PRESSURE" localSheetId="2">OFFSET(#REF!,0,0,COUNTA(#REF!)-4,1)</definedName>
    <definedName name="DEARATOE_PRESSURE" localSheetId="5">OFFSET(#REF!,0,0,COUNTA(#REF!)-4,1)</definedName>
    <definedName name="DEARATOE_PRESSURE" localSheetId="3">OFFSET(#REF!,0,0,COUNTA(#REF!)-4,1)</definedName>
    <definedName name="DEARATOE_PRESSURE" localSheetId="7">OFFSET(#REF!,0,0,COUNTA(#REF!)-4,1)</definedName>
    <definedName name="DEARATOE_PRESSURE">OFFSET(#REF!,0,0,COUNTA(#REF!)-4,1)</definedName>
    <definedName name="Design_loss_in_BA" localSheetId="4">OFFSET(#REF!,0,0,COUNTA(#REF!)-4,1)</definedName>
    <definedName name="Design_loss_in_BA" localSheetId="8">OFFSET(#REF!,0,0,COUNTA(#REF!)-4,1)</definedName>
    <definedName name="Design_loss_in_BA" localSheetId="2">OFFSET(#REF!,0,0,COUNTA(#REF!)-4,1)</definedName>
    <definedName name="Design_loss_in_BA" localSheetId="5">OFFSET(#REF!,0,0,COUNTA(#REF!)-4,1)</definedName>
    <definedName name="Design_loss_in_BA" localSheetId="3">OFFSET(#REF!,0,0,COUNTA(#REF!)-4,1)</definedName>
    <definedName name="Design_loss_in_BA" localSheetId="7">OFFSET(#REF!,0,0,COUNTA(#REF!)-4,1)</definedName>
    <definedName name="Design_loss_in_BA">OFFSET(#REF!,0,0,COUNTA(#REF!)-4,1)</definedName>
    <definedName name="Design_loss_in_FA" localSheetId="4">OFFSET(#REF!,0,0,COUNTA(#REF!)-4,1)</definedName>
    <definedName name="Design_loss_in_FA" localSheetId="8">OFFSET(#REF!,0,0,COUNTA(#REF!)-4,1)</definedName>
    <definedName name="Design_loss_in_FA" localSheetId="2">OFFSET(#REF!,0,0,COUNTA(#REF!)-4,1)</definedName>
    <definedName name="Design_loss_in_FA" localSheetId="5">OFFSET(#REF!,0,0,COUNTA(#REF!)-4,1)</definedName>
    <definedName name="Design_loss_in_FA" localSheetId="3">OFFSET(#REF!,0,0,COUNTA(#REF!)-4,1)</definedName>
    <definedName name="Design_loss_in_FA" localSheetId="7">OFFSET(#REF!,0,0,COUNTA(#REF!)-4,1)</definedName>
    <definedName name="Design_loss_in_FA">OFFSET(#REF!,0,0,COUNTA(#REF!)-4,1)</definedName>
    <definedName name="Devendra" localSheetId="7">#REF!</definedName>
    <definedName name="Devendra">#REF!</definedName>
    <definedName name="Deviation_due_to_Botm_ash" localSheetId="4">OFFSET(#REF!,0,0,COUNTA(#REF!)-4,1)</definedName>
    <definedName name="Deviation_due_to_Botm_ash" localSheetId="8">OFFSET(#REF!,0,0,COUNTA(#REF!)-4,1)</definedName>
    <definedName name="Deviation_due_to_Botm_ash" localSheetId="2">OFFSET(#REF!,0,0,COUNTA(#REF!)-4,1)</definedName>
    <definedName name="Deviation_due_to_Botm_ash" localSheetId="5">OFFSET(#REF!,0,0,COUNTA(#REF!)-4,1)</definedName>
    <definedName name="Deviation_due_to_Botm_ash" localSheetId="3">OFFSET(#REF!,0,0,COUNTA(#REF!)-4,1)</definedName>
    <definedName name="Deviation_due_to_Botm_ash" localSheetId="7">OFFSET(#REF!,0,0,COUNTA(#REF!)-4,1)</definedName>
    <definedName name="Deviation_due_to_Botm_ash">OFFSET(#REF!,0,0,COUNTA(#REF!)-4,1)</definedName>
    <definedName name="Deviation_due_to_Fly_ash" localSheetId="4">OFFSET(#REF!,0,0,COUNTA(#REF!)-4,1)</definedName>
    <definedName name="Deviation_due_to_Fly_ash" localSheetId="8">OFFSET(#REF!,0,0,COUNTA(#REF!)-4,1)</definedName>
    <definedName name="Deviation_due_to_Fly_ash" localSheetId="2">OFFSET(#REF!,0,0,COUNTA(#REF!)-4,1)</definedName>
    <definedName name="Deviation_due_to_Fly_ash" localSheetId="5">OFFSET(#REF!,0,0,COUNTA(#REF!)-4,1)</definedName>
    <definedName name="Deviation_due_to_Fly_ash" localSheetId="3">OFFSET(#REF!,0,0,COUNTA(#REF!)-4,1)</definedName>
    <definedName name="Deviation_due_to_Fly_ash" localSheetId="7">OFFSET(#REF!,0,0,COUNTA(#REF!)-4,1)</definedName>
    <definedName name="Deviation_due_to_Fly_ash">OFFSET(#REF!,0,0,COUNTA(#REF!)-4,1)</definedName>
    <definedName name="Deviation_due_to_UBC" localSheetId="4">OFFSET(#REF!,0,0,COUNTA(#REF!)-4,1)</definedName>
    <definedName name="Deviation_due_to_UBC" localSheetId="8">OFFSET(#REF!,0,0,COUNTA(#REF!)-4,1)</definedName>
    <definedName name="Deviation_due_to_UBC" localSheetId="2">OFFSET(#REF!,0,0,COUNTA(#REF!)-4,1)</definedName>
    <definedName name="Deviation_due_to_UBC" localSheetId="5">OFFSET(#REF!,0,0,COUNTA(#REF!)-4,1)</definedName>
    <definedName name="Deviation_due_to_UBC" localSheetId="3">OFFSET(#REF!,0,0,COUNTA(#REF!)-4,1)</definedName>
    <definedName name="Deviation_due_to_UBC" localSheetId="7">OFFSET(#REF!,0,0,COUNTA(#REF!)-4,1)</definedName>
    <definedName name="Deviation_due_to_UBC">OFFSET(#REF!,0,0,COUNTA(#REF!)-4,1)</definedName>
    <definedName name="DeviationPivotRange" localSheetId="4">OFFSET(#REF!,0,0,COUNTA(#REF!)-3,86)</definedName>
    <definedName name="DeviationPivotRange" localSheetId="8">OFFSET(#REF!,0,0,COUNTA(#REF!)-3,86)</definedName>
    <definedName name="DeviationPivotRange" localSheetId="2">OFFSET(#REF!,0,0,COUNTA(#REF!)-3,86)</definedName>
    <definedName name="DeviationPivotRange" localSheetId="5">OFFSET(#REF!,0,0,COUNTA(#REF!)-3,86)</definedName>
    <definedName name="DeviationPivotRange" localSheetId="3">OFFSET(#REF!,0,0,COUNTA(#REF!)-3,86)</definedName>
    <definedName name="DeviationPivotRange" localSheetId="7">OFFSET(#REF!,0,0,COUNTA(#REF!)-3,86)</definedName>
    <definedName name="DeviationPivotRange">OFFSET(#REF!,0,0,COUNTA(#REF!)-3,86)</definedName>
    <definedName name="DirectHeatRatePivot" localSheetId="4">OFFSET(#REF!,0,0,COUNTA(#REF!)-3,193)</definedName>
    <definedName name="DirectHeatRatePivot" localSheetId="8">OFFSET(#REF!,0,0,COUNTA(#REF!)-3,193)</definedName>
    <definedName name="DirectHeatRatePivot" localSheetId="2">OFFSET(#REF!,0,0,COUNTA(#REF!)-3,193)</definedName>
    <definedName name="DirectHeatRatePivot" localSheetId="5">OFFSET(#REF!,0,0,COUNTA(#REF!)-3,193)</definedName>
    <definedName name="DirectHeatRatePivot" localSheetId="3">OFFSET(#REF!,0,0,COUNTA(#REF!)-3,193)</definedName>
    <definedName name="DirectHeatRatePivot" localSheetId="7">OFFSET(#REF!,0,0,COUNTA(#REF!)-3,193)</definedName>
    <definedName name="DirectHeatRatePivot">OFFSET(#REF!,0,0,COUNTA(#REF!)-3,193)</definedName>
    <definedName name="DM_Make_up_percentage" localSheetId="4">OFFSET(#REF!,0,0,COUNTA(#REF!)-4,1)</definedName>
    <definedName name="DM_Make_up_percentage" localSheetId="8">OFFSET(#REF!,0,0,COUNTA(#REF!)-4,1)</definedName>
    <definedName name="DM_Make_up_percentage" localSheetId="2">OFFSET(#REF!,0,0,COUNTA(#REF!)-4,1)</definedName>
    <definedName name="DM_Make_up_percentage" localSheetId="5">OFFSET(#REF!,0,0,COUNTA(#REF!)-4,1)</definedName>
    <definedName name="DM_Make_up_percentage" localSheetId="3">OFFSET(#REF!,0,0,COUNTA(#REF!)-4,1)</definedName>
    <definedName name="DM_Make_up_percentage" localSheetId="7">OFFSET(#REF!,0,0,COUNTA(#REF!)-4,1)</definedName>
    <definedName name="DM_Make_up_percentage">OFFSET(#REF!,0,0,COUNTA(#REF!)-4,1)</definedName>
    <definedName name="dry_flue_gas_loss" localSheetId="4">OFFSET(#REF!,0,0,COUNTA(#REF!)-4,1)</definedName>
    <definedName name="dry_flue_gas_loss" localSheetId="8">OFFSET(#REF!,0,0,COUNTA(#REF!)-4,1)</definedName>
    <definedName name="dry_flue_gas_loss" localSheetId="2">OFFSET(#REF!,0,0,COUNTA(#REF!)-4,1)</definedName>
    <definedName name="dry_flue_gas_loss" localSheetId="5">OFFSET(#REF!,0,0,COUNTA(#REF!)-4,1)</definedName>
    <definedName name="dry_flue_gas_loss" localSheetId="3">OFFSET(#REF!,0,0,COUNTA(#REF!)-4,1)</definedName>
    <definedName name="dry_flue_gas_loss" localSheetId="7">OFFSET(#REF!,0,0,COUNTA(#REF!)-4,1)</definedName>
    <definedName name="dry_flue_gas_loss">OFFSET(#REF!,0,0,COUNTA(#REF!)-4,1)</definedName>
    <definedName name="ECO_O_L_FEEDWATER_TEMP" localSheetId="4">OFFSET(#REF!,0,0,COUNTA(#REF!)-4,1)</definedName>
    <definedName name="ECO_O_L_FEEDWATER_TEMP" localSheetId="8">OFFSET(#REF!,0,0,COUNTA(#REF!)-4,1)</definedName>
    <definedName name="ECO_O_L_FEEDWATER_TEMP" localSheetId="2">OFFSET(#REF!,0,0,COUNTA(#REF!)-4,1)</definedName>
    <definedName name="ECO_O_L_FEEDWATER_TEMP" localSheetId="5">OFFSET(#REF!,0,0,COUNTA(#REF!)-4,1)</definedName>
    <definedName name="ECO_O_L_FEEDWATER_TEMP" localSheetId="3">OFFSET(#REF!,0,0,COUNTA(#REF!)-4,1)</definedName>
    <definedName name="ECO_O_L_FEEDWATER_TEMP" localSheetId="7">OFFSET(#REF!,0,0,COUNTA(#REF!)-4,1)</definedName>
    <definedName name="ECO_O_L_FEEDWATER_TEMP">OFFSET(#REF!,0,0,COUNTA(#REF!)-4,1)</definedName>
    <definedName name="ESP_Combustible" localSheetId="4">OFFSET(#REF!,0,0,COUNTA(#REF!)-4,1)</definedName>
    <definedName name="ESP_Combustible" localSheetId="8">OFFSET(#REF!,0,0,COUNTA(#REF!)-4,1)</definedName>
    <definedName name="ESP_Combustible" localSheetId="2">OFFSET(#REF!,0,0,COUNTA(#REF!)-4,1)</definedName>
    <definedName name="ESP_Combustible" localSheetId="5">OFFSET(#REF!,0,0,COUNTA(#REF!)-4,1)</definedName>
    <definedName name="ESP_Combustible" localSheetId="3">OFFSET(#REF!,0,0,COUNTA(#REF!)-4,1)</definedName>
    <definedName name="ESP_Combustible" localSheetId="7">OFFSET(#REF!,0,0,COUNTA(#REF!)-4,1)</definedName>
    <definedName name="ESP_Combustible">OFFSET(#REF!,0,0,COUNTA(#REF!)-4,1)</definedName>
    <definedName name="EX_2_STM_PR_AT_LPH_2_I_L" localSheetId="4">OFFSET(#REF!,0,0,COUNTA(#REF!)-2,1)</definedName>
    <definedName name="EX_2_STM_PR_AT_LPH_2_I_L" localSheetId="8">OFFSET(#REF!,0,0,COUNTA(#REF!)-2,1)</definedName>
    <definedName name="EX_2_STM_PR_AT_LPH_2_I_L" localSheetId="2">OFFSET(#REF!,0,0,COUNTA(#REF!)-2,1)</definedName>
    <definedName name="EX_2_STM_PR_AT_LPH_2_I_L" localSheetId="5">OFFSET(#REF!,0,0,COUNTA(#REF!)-2,1)</definedName>
    <definedName name="EX_2_STM_PR_AT_LPH_2_I_L" localSheetId="3">OFFSET(#REF!,0,0,COUNTA(#REF!)-2,1)</definedName>
    <definedName name="EX_2_STM_PR_AT_LPH_2_I_L" localSheetId="7">OFFSET(#REF!,0,0,COUNTA(#REF!)-2,1)</definedName>
    <definedName name="EX_2_STM_PR_AT_LPH_2_I_L">OFFSET(#REF!,0,0,COUNTA(#REF!)-2,1)</definedName>
    <definedName name="EX_2_STM_TMP_AT_LPH_2_I_L" localSheetId="4">OFFSET(#REF!,0,0,COUNTA(#REF!)-2,1)</definedName>
    <definedName name="EX_2_STM_TMP_AT_LPH_2_I_L" localSheetId="8">OFFSET(#REF!,0,0,COUNTA(#REF!)-2,1)</definedName>
    <definedName name="EX_2_STM_TMP_AT_LPH_2_I_L" localSheetId="2">OFFSET(#REF!,0,0,COUNTA(#REF!)-2,1)</definedName>
    <definedName name="EX_2_STM_TMP_AT_LPH_2_I_L" localSheetId="5">OFFSET(#REF!,0,0,COUNTA(#REF!)-2,1)</definedName>
    <definedName name="EX_2_STM_TMP_AT_LPH_2_I_L" localSheetId="3">OFFSET(#REF!,0,0,COUNTA(#REF!)-2,1)</definedName>
    <definedName name="EX_2_STM_TMP_AT_LPH_2_I_L" localSheetId="7">OFFSET(#REF!,0,0,COUNTA(#REF!)-2,1)</definedName>
    <definedName name="EX_2_STM_TMP_AT_LPH_2_I_L">OFFSET(#REF!,0,0,COUNTA(#REF!)-2,1)</definedName>
    <definedName name="EX_3_STM_TMP_AT_LPH_3_I_L" localSheetId="4">OFFSET(#REF!,0,0,COUNTA(#REF!)-2,1)</definedName>
    <definedName name="EX_3_STM_TMP_AT_LPH_3_I_L" localSheetId="8">OFFSET(#REF!,0,0,COUNTA(#REF!)-2,1)</definedName>
    <definedName name="EX_3_STM_TMP_AT_LPH_3_I_L" localSheetId="2">OFFSET(#REF!,0,0,COUNTA(#REF!)-2,1)</definedName>
    <definedName name="EX_3_STM_TMP_AT_LPH_3_I_L" localSheetId="5">OFFSET(#REF!,0,0,COUNTA(#REF!)-2,1)</definedName>
    <definedName name="EX_3_STM_TMP_AT_LPH_3_I_L" localSheetId="3">OFFSET(#REF!,0,0,COUNTA(#REF!)-2,1)</definedName>
    <definedName name="EX_3_STM_TMP_AT_LPH_3_I_L" localSheetId="7">OFFSET(#REF!,0,0,COUNTA(#REF!)-2,1)</definedName>
    <definedName name="EX_3_STM_TMP_AT_LPH_3_I_L">OFFSET(#REF!,0,0,COUNTA(#REF!)-2,1)</definedName>
    <definedName name="EX_5_STM_PR_AT_HPH_5_I_L" localSheetId="4">OFFSET(#REF!,0,0,COUNTA(#REF!)-4,1)</definedName>
    <definedName name="EX_5_STM_PR_AT_HPH_5_I_L" localSheetId="8">OFFSET(#REF!,0,0,COUNTA(#REF!)-4,1)</definedName>
    <definedName name="EX_5_STM_PR_AT_HPH_5_I_L" localSheetId="2">OFFSET(#REF!,0,0,COUNTA(#REF!)-4,1)</definedName>
    <definedName name="EX_5_STM_PR_AT_HPH_5_I_L" localSheetId="5">OFFSET(#REF!,0,0,COUNTA(#REF!)-4,1)</definedName>
    <definedName name="EX_5_STM_PR_AT_HPH_5_I_L" localSheetId="3">OFFSET(#REF!,0,0,COUNTA(#REF!)-4,1)</definedName>
    <definedName name="EX_5_STM_PR_AT_HPH_5_I_L" localSheetId="7">OFFSET(#REF!,0,0,COUNTA(#REF!)-4,1)</definedName>
    <definedName name="EX_5_STM_PR_AT_HPH_5_I_L">OFFSET(#REF!,0,0,COUNTA(#REF!)-4,1)</definedName>
    <definedName name="EX_5_STM_TMP_AT_HPH_5_I_L" localSheetId="4">OFFSET(#REF!,0,0,COUNTA(#REF!)-4,1)</definedName>
    <definedName name="EX_5_STM_TMP_AT_HPH_5_I_L" localSheetId="8">OFFSET(#REF!,0,0,COUNTA(#REF!)-4,1)</definedName>
    <definedName name="EX_5_STM_TMP_AT_HPH_5_I_L" localSheetId="2">OFFSET(#REF!,0,0,COUNTA(#REF!)-4,1)</definedName>
    <definedName name="EX_5_STM_TMP_AT_HPH_5_I_L" localSheetId="5">OFFSET(#REF!,0,0,COUNTA(#REF!)-4,1)</definedName>
    <definedName name="EX_5_STM_TMP_AT_HPH_5_I_L" localSheetId="3">OFFSET(#REF!,0,0,COUNTA(#REF!)-4,1)</definedName>
    <definedName name="EX_5_STM_TMP_AT_HPH_5_I_L" localSheetId="7">OFFSET(#REF!,0,0,COUNTA(#REF!)-4,1)</definedName>
    <definedName name="EX_5_STM_TMP_AT_HPH_5_I_L">OFFSET(#REF!,0,0,COUNTA(#REF!)-4,1)</definedName>
    <definedName name="EX_6_STM_PR_AT_HPH_6_I_L" localSheetId="4">OFFSET(#REF!,0,0,COUNTA(#REF!)-4,1)</definedName>
    <definedName name="EX_6_STM_PR_AT_HPH_6_I_L" localSheetId="8">OFFSET(#REF!,0,0,COUNTA(#REF!)-4,1)</definedName>
    <definedName name="EX_6_STM_PR_AT_HPH_6_I_L" localSheetId="2">OFFSET(#REF!,0,0,COUNTA(#REF!)-4,1)</definedName>
    <definedName name="EX_6_STM_PR_AT_HPH_6_I_L" localSheetId="5">OFFSET(#REF!,0,0,COUNTA(#REF!)-4,1)</definedName>
    <definedName name="EX_6_STM_PR_AT_HPH_6_I_L" localSheetId="3">OFFSET(#REF!,0,0,COUNTA(#REF!)-4,1)</definedName>
    <definedName name="EX_6_STM_PR_AT_HPH_6_I_L" localSheetId="7">OFFSET(#REF!,0,0,COUNTA(#REF!)-4,1)</definedName>
    <definedName name="EX_6_STM_PR_AT_HPH_6_I_L">OFFSET(#REF!,0,0,COUNTA(#REF!)-4,1)</definedName>
    <definedName name="EX_6_STM_TMP_AT_HPH_6_I_L" localSheetId="4">OFFSET(#REF!,0,0,COUNTA(#REF!)-4,1)</definedName>
    <definedName name="EX_6_STM_TMP_AT_HPH_6_I_L" localSheetId="8">OFFSET(#REF!,0,0,COUNTA(#REF!)-4,1)</definedName>
    <definedName name="EX_6_STM_TMP_AT_HPH_6_I_L" localSheetId="2">OFFSET(#REF!,0,0,COUNTA(#REF!)-4,1)</definedName>
    <definedName name="EX_6_STM_TMP_AT_HPH_6_I_L" localSheetId="5">OFFSET(#REF!,0,0,COUNTA(#REF!)-4,1)</definedName>
    <definedName name="EX_6_STM_TMP_AT_HPH_6_I_L" localSheetId="3">OFFSET(#REF!,0,0,COUNTA(#REF!)-4,1)</definedName>
    <definedName name="EX_6_STM_TMP_AT_HPH_6_I_L" localSheetId="7">OFFSET(#REF!,0,0,COUNTA(#REF!)-4,1)</definedName>
    <definedName name="EX_6_STM_TMP_AT_HPH_6_I_L">OFFSET(#REF!,0,0,COUNTA(#REF!)-4,1)</definedName>
    <definedName name="EXHAUST_HOOD_TEMP" localSheetId="4">OFFSET(#REF!,0,0,COUNTA(#REF!)-4,1)</definedName>
    <definedName name="EXHAUST_HOOD_TEMP" localSheetId="8">OFFSET(#REF!,0,0,COUNTA(#REF!)-4,1)</definedName>
    <definedName name="EXHAUST_HOOD_TEMP" localSheetId="2">OFFSET(#REF!,0,0,COUNTA(#REF!)-4,1)</definedName>
    <definedName name="EXHAUST_HOOD_TEMP" localSheetId="5">OFFSET(#REF!,0,0,COUNTA(#REF!)-4,1)</definedName>
    <definedName name="EXHAUST_HOOD_TEMP" localSheetId="3">OFFSET(#REF!,0,0,COUNTA(#REF!)-4,1)</definedName>
    <definedName name="EXHAUST_HOOD_TEMP" localSheetId="7">OFFSET(#REF!,0,0,COUNTA(#REF!)-4,1)</definedName>
    <definedName name="EXHAUST_HOOD_TEMP">OFFSET(#REF!,0,0,COUNTA(#REF!)-4,1)</definedName>
    <definedName name="EXTRACTION_1_PRESS" localSheetId="4">OFFSET(#REF!,0,0,COUNTA(#REF!)-4,1)</definedName>
    <definedName name="EXTRACTION_1_PRESS" localSheetId="8">OFFSET(#REF!,0,0,COUNTA(#REF!)-4,1)</definedName>
    <definedName name="EXTRACTION_1_PRESS" localSheetId="2">OFFSET(#REF!,0,0,COUNTA(#REF!)-4,1)</definedName>
    <definedName name="EXTRACTION_1_PRESS" localSheetId="5">OFFSET(#REF!,0,0,COUNTA(#REF!)-4,1)</definedName>
    <definedName name="EXTRACTION_1_PRESS" localSheetId="3">OFFSET(#REF!,0,0,COUNTA(#REF!)-4,1)</definedName>
    <definedName name="EXTRACTION_1_PRESS" localSheetId="7">OFFSET(#REF!,0,0,COUNTA(#REF!)-4,1)</definedName>
    <definedName name="EXTRACTION_1_PRESS">OFFSET(#REF!,0,0,COUNTA(#REF!)-4,1)</definedName>
    <definedName name="EXTRACTION_1_TEMP" localSheetId="4">OFFSET(#REF!,0,0,COUNTA(#REF!)-4,1)</definedName>
    <definedName name="EXTRACTION_1_TEMP" localSheetId="8">OFFSET(#REF!,0,0,COUNTA(#REF!)-4,1)</definedName>
    <definedName name="EXTRACTION_1_TEMP" localSheetId="2">OFFSET(#REF!,0,0,COUNTA(#REF!)-4,1)</definedName>
    <definedName name="EXTRACTION_1_TEMP" localSheetId="5">OFFSET(#REF!,0,0,COUNTA(#REF!)-4,1)</definedName>
    <definedName name="EXTRACTION_1_TEMP" localSheetId="3">OFFSET(#REF!,0,0,COUNTA(#REF!)-4,1)</definedName>
    <definedName name="EXTRACTION_1_TEMP" localSheetId="7">OFFSET(#REF!,0,0,COUNTA(#REF!)-4,1)</definedName>
    <definedName name="EXTRACTION_1_TEMP">OFFSET(#REF!,0,0,COUNTA(#REF!)-4,1)</definedName>
    <definedName name="FEED_WATER_FLOW" localSheetId="4">OFFSET(#REF!,0,0,COUNTA(#REF!)-4,1)</definedName>
    <definedName name="FEED_WATER_FLOW" localSheetId="8">OFFSET(#REF!,0,0,COUNTA(#REF!)-4,1)</definedName>
    <definedName name="FEED_WATER_FLOW" localSheetId="2">OFFSET(#REF!,0,0,COUNTA(#REF!)-4,1)</definedName>
    <definedName name="FEED_WATER_FLOW" localSheetId="5">OFFSET(#REF!,0,0,COUNTA(#REF!)-4,1)</definedName>
    <definedName name="FEED_WATER_FLOW" localSheetId="3">OFFSET(#REF!,0,0,COUNTA(#REF!)-4,1)</definedName>
    <definedName name="FEED_WATER_FLOW" localSheetId="7">OFFSET(#REF!,0,0,COUNTA(#REF!)-4,1)</definedName>
    <definedName name="FEED_WATER_FLOW">OFFSET(#REF!,0,0,COUNTA(#REF!)-4,1)</definedName>
    <definedName name="FINAL_SUPERHEATER_O_L_TEMP" localSheetId="4">OFFSET(#REF!,0,0,COUNTA(#REF!)-4,1)</definedName>
    <definedName name="FINAL_SUPERHEATER_O_L_TEMP" localSheetId="8">OFFSET(#REF!,0,0,COUNTA(#REF!)-4,1)</definedName>
    <definedName name="FINAL_SUPERHEATER_O_L_TEMP" localSheetId="2">OFFSET(#REF!,0,0,COUNTA(#REF!)-4,1)</definedName>
    <definedName name="FINAL_SUPERHEATER_O_L_TEMP" localSheetId="5">OFFSET(#REF!,0,0,COUNTA(#REF!)-4,1)</definedName>
    <definedName name="FINAL_SUPERHEATER_O_L_TEMP" localSheetId="3">OFFSET(#REF!,0,0,COUNTA(#REF!)-4,1)</definedName>
    <definedName name="FINAL_SUPERHEATER_O_L_TEMP" localSheetId="7">OFFSET(#REF!,0,0,COUNTA(#REF!)-4,1)</definedName>
    <definedName name="FINAL_SUPERHEATER_O_L_TEMP">OFFSET(#REF!,0,0,COUNTA(#REF!)-4,1)</definedName>
    <definedName name="FINAL_SUPERHEATER_O_L_TEMP_LHS" localSheetId="4">OFFSET(#REF!,0,0,COUNTA(#REF!)-4,1)</definedName>
    <definedName name="FINAL_SUPERHEATER_O_L_TEMP_LHS" localSheetId="8">OFFSET(#REF!,0,0,COUNTA(#REF!)-4,1)</definedName>
    <definedName name="FINAL_SUPERHEATER_O_L_TEMP_LHS" localSheetId="2">OFFSET(#REF!,0,0,COUNTA(#REF!)-4,1)</definedName>
    <definedName name="FINAL_SUPERHEATER_O_L_TEMP_LHS" localSheetId="5">OFFSET(#REF!,0,0,COUNTA(#REF!)-4,1)</definedName>
    <definedName name="FINAL_SUPERHEATER_O_L_TEMP_LHS" localSheetId="3">OFFSET(#REF!,0,0,COUNTA(#REF!)-4,1)</definedName>
    <definedName name="FINAL_SUPERHEATER_O_L_TEMP_LHS" localSheetId="7">OFFSET(#REF!,0,0,COUNTA(#REF!)-4,1)</definedName>
    <definedName name="FINAL_SUPERHEATER_O_L_TEMP_LHS">OFFSET(#REF!,0,0,COUNTA(#REF!)-4,1)</definedName>
    <definedName name="FINAL_SUPERHEATER_O_L_TEMP_RHS" localSheetId="4">OFFSET(#REF!,0,0,COUNTA(#REF!)-4,1)</definedName>
    <definedName name="FINAL_SUPERHEATER_O_L_TEMP_RHS" localSheetId="8">OFFSET(#REF!,0,0,COUNTA(#REF!)-4,1)</definedName>
    <definedName name="FINAL_SUPERHEATER_O_L_TEMP_RHS" localSheetId="2">OFFSET(#REF!,0,0,COUNTA(#REF!)-4,1)</definedName>
    <definedName name="FINAL_SUPERHEATER_O_L_TEMP_RHS" localSheetId="5">OFFSET(#REF!,0,0,COUNTA(#REF!)-4,1)</definedName>
    <definedName name="FINAL_SUPERHEATER_O_L_TEMP_RHS" localSheetId="3">OFFSET(#REF!,0,0,COUNTA(#REF!)-4,1)</definedName>
    <definedName name="FINAL_SUPERHEATER_O_L_TEMP_RHS" localSheetId="7">OFFSET(#REF!,0,0,COUNTA(#REF!)-4,1)</definedName>
    <definedName name="FINAL_SUPERHEATER_O_L_TEMP_RHS">OFFSET(#REF!,0,0,COUNTA(#REF!)-4,1)</definedName>
    <definedName name="FIRST_STAGE_SPRAY_FLOW" localSheetId="4">OFFSET(#REF!,0,0,COUNTA(#REF!)-4,1)</definedName>
    <definedName name="FIRST_STAGE_SPRAY_FLOW" localSheetId="8">OFFSET(#REF!,0,0,COUNTA(#REF!)-4,1)</definedName>
    <definedName name="FIRST_STAGE_SPRAY_FLOW" localSheetId="2">OFFSET(#REF!,0,0,COUNTA(#REF!)-4,1)</definedName>
    <definedName name="FIRST_STAGE_SPRAY_FLOW" localSheetId="5">OFFSET(#REF!,0,0,COUNTA(#REF!)-4,1)</definedName>
    <definedName name="FIRST_STAGE_SPRAY_FLOW" localSheetId="3">OFFSET(#REF!,0,0,COUNTA(#REF!)-4,1)</definedName>
    <definedName name="FIRST_STAGE_SPRAY_FLOW" localSheetId="7">OFFSET(#REF!,0,0,COUNTA(#REF!)-4,1)</definedName>
    <definedName name="FIRST_STAGE_SPRAY_FLOW">OFFSET(#REF!,0,0,COUNTA(#REF!)-4,1)</definedName>
    <definedName name="FLUE_GAS_PRES_AT_APH_A_I_L" localSheetId="4">OFFSET(#REF!,0,0,COUNTA(#REF!)-4,1)</definedName>
    <definedName name="FLUE_GAS_PRES_AT_APH_A_I_L" localSheetId="8">OFFSET(#REF!,0,0,COUNTA(#REF!)-4,1)</definedName>
    <definedName name="FLUE_GAS_PRES_AT_APH_A_I_L" localSheetId="2">OFFSET(#REF!,0,0,COUNTA(#REF!)-4,1)</definedName>
    <definedName name="FLUE_GAS_PRES_AT_APH_A_I_L" localSheetId="5">OFFSET(#REF!,0,0,COUNTA(#REF!)-4,1)</definedName>
    <definedName name="FLUE_GAS_PRES_AT_APH_A_I_L" localSheetId="3">OFFSET(#REF!,0,0,COUNTA(#REF!)-4,1)</definedName>
    <definedName name="FLUE_GAS_PRES_AT_APH_A_I_L" localSheetId="7">OFFSET(#REF!,0,0,COUNTA(#REF!)-4,1)</definedName>
    <definedName name="FLUE_GAS_PRES_AT_APH_A_I_L">OFFSET(#REF!,0,0,COUNTA(#REF!)-4,1)</definedName>
    <definedName name="FLUE_GAS_PRES_AT_APH_A_O_L" localSheetId="4">OFFSET(#REF!,0,0,COUNTA(#REF!)-4,1)</definedName>
    <definedName name="FLUE_GAS_PRES_AT_APH_A_O_L" localSheetId="8">OFFSET(#REF!,0,0,COUNTA(#REF!)-4,1)</definedName>
    <definedName name="FLUE_GAS_PRES_AT_APH_A_O_L" localSheetId="2">OFFSET(#REF!,0,0,COUNTA(#REF!)-4,1)</definedName>
    <definedName name="FLUE_GAS_PRES_AT_APH_A_O_L" localSheetId="5">OFFSET(#REF!,0,0,COUNTA(#REF!)-4,1)</definedName>
    <definedName name="FLUE_GAS_PRES_AT_APH_A_O_L" localSheetId="3">OFFSET(#REF!,0,0,COUNTA(#REF!)-4,1)</definedName>
    <definedName name="FLUE_GAS_PRES_AT_APH_A_O_L" localSheetId="7">OFFSET(#REF!,0,0,COUNTA(#REF!)-4,1)</definedName>
    <definedName name="FLUE_GAS_PRES_AT_APH_A_O_L">OFFSET(#REF!,0,0,COUNTA(#REF!)-4,1)</definedName>
    <definedName name="FLUE_GAS_PRES_AT_APH_B_I_L" localSheetId="4">OFFSET(#REF!,0,0,COUNTA(#REF!)-4,1)</definedName>
    <definedName name="FLUE_GAS_PRES_AT_APH_B_I_L" localSheetId="8">OFFSET(#REF!,0,0,COUNTA(#REF!)-4,1)</definedName>
    <definedName name="FLUE_GAS_PRES_AT_APH_B_I_L" localSheetId="2">OFFSET(#REF!,0,0,COUNTA(#REF!)-4,1)</definedName>
    <definedName name="FLUE_GAS_PRES_AT_APH_B_I_L" localSheetId="5">OFFSET(#REF!,0,0,COUNTA(#REF!)-4,1)</definedName>
    <definedName name="FLUE_GAS_PRES_AT_APH_B_I_L" localSheetId="3">OFFSET(#REF!,0,0,COUNTA(#REF!)-4,1)</definedName>
    <definedName name="FLUE_GAS_PRES_AT_APH_B_I_L" localSheetId="7">OFFSET(#REF!,0,0,COUNTA(#REF!)-4,1)</definedName>
    <definedName name="FLUE_GAS_PRES_AT_APH_B_I_L">OFFSET(#REF!,0,0,COUNTA(#REF!)-4,1)</definedName>
    <definedName name="FLUE_GAS_PRES_AT_APH_B_O_L" localSheetId="4">OFFSET(#REF!,0,0,COUNTA(#REF!)-4,1)</definedName>
    <definedName name="FLUE_GAS_PRES_AT_APH_B_O_L" localSheetId="8">OFFSET(#REF!,0,0,COUNTA(#REF!)-4,1)</definedName>
    <definedName name="FLUE_GAS_PRES_AT_APH_B_O_L" localSheetId="2">OFFSET(#REF!,0,0,COUNTA(#REF!)-4,1)</definedName>
    <definedName name="FLUE_GAS_PRES_AT_APH_B_O_L" localSheetId="5">OFFSET(#REF!,0,0,COUNTA(#REF!)-4,1)</definedName>
    <definedName name="FLUE_GAS_PRES_AT_APH_B_O_L" localSheetId="3">OFFSET(#REF!,0,0,COUNTA(#REF!)-4,1)</definedName>
    <definedName name="FLUE_GAS_PRES_AT_APH_B_O_L" localSheetId="7">OFFSET(#REF!,0,0,COUNTA(#REF!)-4,1)</definedName>
    <definedName name="FLUE_GAS_PRES_AT_APH_B_O_L">OFFSET(#REF!,0,0,COUNTA(#REF!)-4,1)</definedName>
    <definedName name="Flue_gas_temp_at_APH_outlet__Corrected" localSheetId="4">OFFSET(#REF!,0,0,COUNTA(#REF!)-4,1)</definedName>
    <definedName name="Flue_gas_temp_at_APH_outlet__Corrected" localSheetId="8">OFFSET(#REF!,0,0,COUNTA(#REF!)-4,1)</definedName>
    <definedName name="Flue_gas_temp_at_APH_outlet__Corrected" localSheetId="2">OFFSET(#REF!,0,0,COUNTA(#REF!)-4,1)</definedName>
    <definedName name="Flue_gas_temp_at_APH_outlet__Corrected" localSheetId="5">OFFSET(#REF!,0,0,COUNTA(#REF!)-4,1)</definedName>
    <definedName name="Flue_gas_temp_at_APH_outlet__Corrected" localSheetId="3">OFFSET(#REF!,0,0,COUNTA(#REF!)-4,1)</definedName>
    <definedName name="Flue_gas_temp_at_APH_outlet__Corrected" localSheetId="7">OFFSET(#REF!,0,0,COUNTA(#REF!)-4,1)</definedName>
    <definedName name="Flue_gas_temp_at_APH_outlet__Corrected">OFFSET(#REF!,0,0,COUNTA(#REF!)-4,1)</definedName>
    <definedName name="FW_TEMP_ECO_INLET" localSheetId="4">OFFSET(#REF!,0,0,COUNTA(#REF!)-4,1)</definedName>
    <definedName name="FW_TEMP_ECO_INLET" localSheetId="8">OFFSET(#REF!,0,0,COUNTA(#REF!)-4,1)</definedName>
    <definedName name="FW_TEMP_ECO_INLET" localSheetId="2">OFFSET(#REF!,0,0,COUNTA(#REF!)-4,1)</definedName>
    <definedName name="FW_TEMP_ECO_INLET" localSheetId="5">OFFSET(#REF!,0,0,COUNTA(#REF!)-4,1)</definedName>
    <definedName name="FW_TEMP_ECO_INLET" localSheetId="3">OFFSET(#REF!,0,0,COUNTA(#REF!)-4,1)</definedName>
    <definedName name="FW_TEMP_ECO_INLET" localSheetId="7">OFFSET(#REF!,0,0,COUNTA(#REF!)-4,1)</definedName>
    <definedName name="FW_TEMP_ECO_INLET">OFFSET(#REF!,0,0,COUNTA(#REF!)-4,1)</definedName>
    <definedName name="FW_TEMP_ECO_O_L" localSheetId="4">OFFSET(#REF!,0,0,COUNTA(#REF!)-4,1)</definedName>
    <definedName name="FW_TEMP_ECO_O_L" localSheetId="8">OFFSET(#REF!,0,0,COUNTA(#REF!)-4,1)</definedName>
    <definedName name="FW_TEMP_ECO_O_L" localSheetId="2">OFFSET(#REF!,0,0,COUNTA(#REF!)-4,1)</definedName>
    <definedName name="FW_TEMP_ECO_O_L" localSheetId="5">OFFSET(#REF!,0,0,COUNTA(#REF!)-4,1)</definedName>
    <definedName name="FW_TEMP_ECO_O_L" localSheetId="3">OFFSET(#REF!,0,0,COUNTA(#REF!)-4,1)</definedName>
    <definedName name="FW_TEMP_ECO_O_L" localSheetId="7">OFFSET(#REF!,0,0,COUNTA(#REF!)-4,1)</definedName>
    <definedName name="FW_TEMP_ECO_O_L">OFFSET(#REF!,0,0,COUNTA(#REF!)-4,1)</definedName>
    <definedName name="FW_TEMP_HPH_5_O_L" localSheetId="4">OFFSET(#REF!,0,0,COUNTA(#REF!)-4,1)</definedName>
    <definedName name="FW_TEMP_HPH_5_O_L" localSheetId="8">OFFSET(#REF!,0,0,COUNTA(#REF!)-4,1)</definedName>
    <definedName name="FW_TEMP_HPH_5_O_L" localSheetId="2">OFFSET(#REF!,0,0,COUNTA(#REF!)-4,1)</definedName>
    <definedName name="FW_TEMP_HPH_5_O_L" localSheetId="5">OFFSET(#REF!,0,0,COUNTA(#REF!)-4,1)</definedName>
    <definedName name="FW_TEMP_HPH_5_O_L" localSheetId="3">OFFSET(#REF!,0,0,COUNTA(#REF!)-4,1)</definedName>
    <definedName name="FW_TEMP_HPH_5_O_L" localSheetId="7">OFFSET(#REF!,0,0,COUNTA(#REF!)-4,1)</definedName>
    <definedName name="FW_TEMP_HPH_5_O_L">OFFSET(#REF!,0,0,COUNTA(#REF!)-4,1)</definedName>
    <definedName name="FW_TEMP_HPH_6_O_L" localSheetId="4">OFFSET(#REF!,0,0,COUNTA(#REF!)-4,1)</definedName>
    <definedName name="FW_TEMP_HPH_6_O_L" localSheetId="8">OFFSET(#REF!,0,0,COUNTA(#REF!)-4,1)</definedName>
    <definedName name="FW_TEMP_HPH_6_O_L" localSheetId="2">OFFSET(#REF!,0,0,COUNTA(#REF!)-4,1)</definedName>
    <definedName name="FW_TEMP_HPH_6_O_L" localSheetId="5">OFFSET(#REF!,0,0,COUNTA(#REF!)-4,1)</definedName>
    <definedName name="FW_TEMP_HPH_6_O_L" localSheetId="3">OFFSET(#REF!,0,0,COUNTA(#REF!)-4,1)</definedName>
    <definedName name="FW_TEMP_HPH_6_O_L" localSheetId="7">OFFSET(#REF!,0,0,COUNTA(#REF!)-4,1)</definedName>
    <definedName name="FW_TEMP_HPH_6_O_L">OFFSET(#REF!,0,0,COUNTA(#REF!)-4,1)</definedName>
    <definedName name="GCV_ARB" localSheetId="4">OFFSET(#REF!,0,0,COUNTA(#REF!)-4,1)</definedName>
    <definedName name="GCV_ARB" localSheetId="8">OFFSET(#REF!,0,0,COUNTA(#REF!)-4,1)</definedName>
    <definedName name="GCV_ARB" localSheetId="2">OFFSET(#REF!,0,0,COUNTA(#REF!)-4,1)</definedName>
    <definedName name="GCV_ARB" localSheetId="5">OFFSET(#REF!,0,0,COUNTA(#REF!)-4,1)</definedName>
    <definedName name="GCV_ARB" localSheetId="3">OFFSET(#REF!,0,0,COUNTA(#REF!)-4,1)</definedName>
    <definedName name="GCV_ARB" localSheetId="7">OFFSET(#REF!,0,0,COUNTA(#REF!)-4,1)</definedName>
    <definedName name="GCV_ARB">OFFSET(#REF!,0,0,COUNTA(#REF!)-4,1)</definedName>
    <definedName name="H" localSheetId="4">OFFSET(#REF!,0,0,COUNTA(#REF!)-4,1)</definedName>
    <definedName name="H" localSheetId="8">OFFSET(#REF!,0,0,COUNTA(#REF!)-4,1)</definedName>
    <definedName name="H" localSheetId="2">OFFSET(#REF!,0,0,COUNTA(#REF!)-4,1)</definedName>
    <definedName name="H" localSheetId="5">OFFSET(#REF!,0,0,COUNTA(#REF!)-4,1)</definedName>
    <definedName name="H" localSheetId="3">OFFSET(#REF!,0,0,COUNTA(#REF!)-4,1)</definedName>
    <definedName name="H" localSheetId="7">OFFSET(#REF!,0,0,COUNTA(#REF!)-4,1)</definedName>
    <definedName name="H">OFFSET(#REF!,0,0,COUNTA(#REF!)-4,1)</definedName>
    <definedName name="Hotwell_Make_up_Flow_TPH" localSheetId="4">OFFSET(#REF!,0,0,COUNTA(#REF!)-4,1)</definedName>
    <definedName name="Hotwell_Make_up_Flow_TPH" localSheetId="8">OFFSET(#REF!,0,0,COUNTA(#REF!)-4,1)</definedName>
    <definedName name="Hotwell_Make_up_Flow_TPH" localSheetId="2">OFFSET(#REF!,0,0,COUNTA(#REF!)-4,1)</definedName>
    <definedName name="Hotwell_Make_up_Flow_TPH" localSheetId="5">OFFSET(#REF!,0,0,COUNTA(#REF!)-4,1)</definedName>
    <definedName name="Hotwell_Make_up_Flow_TPH" localSheetId="3">OFFSET(#REF!,0,0,COUNTA(#REF!)-4,1)</definedName>
    <definedName name="Hotwell_Make_up_Flow_TPH" localSheetId="7">OFFSET(#REF!,0,0,COUNTA(#REF!)-4,1)</definedName>
    <definedName name="Hotwell_Make_up_Flow_TPH">OFFSET(#REF!,0,0,COUNTA(#REF!)-4,1)</definedName>
    <definedName name="HP_DRN_F_T_TMP" localSheetId="4">OFFSET(#REF!,0,0,COUNTA(#REF!)-2,1)</definedName>
    <definedName name="HP_DRN_F_T_TMP" localSheetId="8">OFFSET(#REF!,0,0,COUNTA(#REF!)-2,1)</definedName>
    <definedName name="HP_DRN_F_T_TMP" localSheetId="2">OFFSET(#REF!,0,0,COUNTA(#REF!)-2,1)</definedName>
    <definedName name="HP_DRN_F_T_TMP" localSheetId="5">OFFSET(#REF!,0,0,COUNTA(#REF!)-2,1)</definedName>
    <definedName name="HP_DRN_F_T_TMP" localSheetId="3">OFFSET(#REF!,0,0,COUNTA(#REF!)-2,1)</definedName>
    <definedName name="HP_DRN_F_T_TMP" localSheetId="7">OFFSET(#REF!,0,0,COUNTA(#REF!)-2,1)</definedName>
    <definedName name="HP_DRN_F_T_TMP">OFFSET(#REF!,0,0,COUNTA(#REF!)-2,1)</definedName>
    <definedName name="HPBP_1_DOWNSTREM_TEMP" localSheetId="4">OFFSET(#REF!,0,0,COUNTA(#REF!)-4,1)</definedName>
    <definedName name="HPBP_1_DOWNSTREM_TEMP" localSheetId="8">OFFSET(#REF!,0,0,COUNTA(#REF!)-4,1)</definedName>
    <definedName name="HPBP_1_DOWNSTREM_TEMP" localSheetId="2">OFFSET(#REF!,0,0,COUNTA(#REF!)-4,1)</definedName>
    <definedName name="HPBP_1_DOWNSTREM_TEMP" localSheetId="5">OFFSET(#REF!,0,0,COUNTA(#REF!)-4,1)</definedName>
    <definedName name="HPBP_1_DOWNSTREM_TEMP" localSheetId="3">OFFSET(#REF!,0,0,COUNTA(#REF!)-4,1)</definedName>
    <definedName name="HPBP_1_DOWNSTREM_TEMP" localSheetId="7">OFFSET(#REF!,0,0,COUNTA(#REF!)-4,1)</definedName>
    <definedName name="HPBP_1_DOWNSTREM_TEMP">OFFSET(#REF!,0,0,COUNTA(#REF!)-4,1)</definedName>
    <definedName name="HPBP_2_DOWNSTREAM_TEMP" localSheetId="4">OFFSET(#REF!,0,0,COUNTA(#REF!)-4,1)</definedName>
    <definedName name="HPBP_2_DOWNSTREAM_TEMP" localSheetId="8">OFFSET(#REF!,0,0,COUNTA(#REF!)-4,1)</definedName>
    <definedName name="HPBP_2_DOWNSTREAM_TEMP" localSheetId="2">OFFSET(#REF!,0,0,COUNTA(#REF!)-4,1)</definedName>
    <definedName name="HPBP_2_DOWNSTREAM_TEMP" localSheetId="5">OFFSET(#REF!,0,0,COUNTA(#REF!)-4,1)</definedName>
    <definedName name="HPBP_2_DOWNSTREAM_TEMP" localSheetId="3">OFFSET(#REF!,0,0,COUNTA(#REF!)-4,1)</definedName>
    <definedName name="HPBP_2_DOWNSTREAM_TEMP" localSheetId="7">OFFSET(#REF!,0,0,COUNTA(#REF!)-4,1)</definedName>
    <definedName name="HPBP_2_DOWNSTREAM_TEMP">OFFSET(#REF!,0,0,COUNTA(#REF!)-4,1)</definedName>
    <definedName name="HPH_5_DRIP_TO_CONDENSSOR" localSheetId="4">OFFSET(#REF!,0,0,COUNTA(#REF!)-4,1)</definedName>
    <definedName name="HPH_5_DRIP_TO_CONDENSSOR" localSheetId="8">OFFSET(#REF!,0,0,COUNTA(#REF!)-4,1)</definedName>
    <definedName name="HPH_5_DRIP_TO_CONDENSSOR" localSheetId="2">OFFSET(#REF!,0,0,COUNTA(#REF!)-4,1)</definedName>
    <definedName name="HPH_5_DRIP_TO_CONDENSSOR" localSheetId="5">OFFSET(#REF!,0,0,COUNTA(#REF!)-4,1)</definedName>
    <definedName name="HPH_5_DRIP_TO_CONDENSSOR" localSheetId="3">OFFSET(#REF!,0,0,COUNTA(#REF!)-4,1)</definedName>
    <definedName name="HPH_5_DRIP_TO_CONDENSSOR" localSheetId="7">OFFSET(#REF!,0,0,COUNTA(#REF!)-2,1)</definedName>
    <definedName name="HPH_5_DRIP_TO_CONDENSSOR">OFFSET(#REF!,0,0,COUNTA(#REF!)-2,1)</definedName>
    <definedName name="HPH_5_DRIP_TO_DEA" localSheetId="4">OFFSET(#REF!,0,0,COUNTA(#REF!)-4,1)</definedName>
    <definedName name="HPH_5_DRIP_TO_DEA" localSheetId="8">OFFSET(#REF!,0,0,COUNTA(#REF!)-4,1)</definedName>
    <definedName name="HPH_5_DRIP_TO_DEA" localSheetId="2">OFFSET(#REF!,0,0,COUNTA(#REF!)-4,1)</definedName>
    <definedName name="HPH_5_DRIP_TO_DEA" localSheetId="5">OFFSET(#REF!,0,0,COUNTA(#REF!)-4,1)</definedName>
    <definedName name="HPH_5_DRIP_TO_DEA" localSheetId="3">OFFSET(#REF!,0,0,COUNTA(#REF!)-4,1)</definedName>
    <definedName name="HPH_5_DRIP_TO_DEA" localSheetId="7">OFFSET(#REF!,0,0,COUNTA(#REF!)-4,1)</definedName>
    <definedName name="HPH_5_DRIP_TO_DEA">OFFSET(#REF!,0,0,COUNTA(#REF!)-4,1)</definedName>
    <definedName name="HPH_5_I_L_TEMP" localSheetId="4">OFFSET(#REF!,0,0,COUNTA(#REF!)-4,1)</definedName>
    <definedName name="HPH_5_I_L_TEMP" localSheetId="8">OFFSET(#REF!,0,0,COUNTA(#REF!)-4,1)</definedName>
    <definedName name="HPH_5_I_L_TEMP" localSheetId="2">OFFSET(#REF!,0,0,COUNTA(#REF!)-4,1)</definedName>
    <definedName name="HPH_5_I_L_TEMP" localSheetId="5">OFFSET(#REF!,0,0,COUNTA(#REF!)-4,1)</definedName>
    <definedName name="HPH_5_I_L_TEMP" localSheetId="3">OFFSET(#REF!,0,0,COUNTA(#REF!)-4,1)</definedName>
    <definedName name="HPH_5_I_L_TEMP" localSheetId="7">OFFSET(#REF!,0,0,COUNTA(#REF!)-4,1)</definedName>
    <definedName name="HPH_5_I_L_TEMP">OFFSET(#REF!,0,0,COUNTA(#REF!)-4,1)</definedName>
    <definedName name="HPH_6_DRIP_TO_CONDENSOR" localSheetId="4">OFFSET(#REF!,0,0,COUNTA(#REF!)-4,1)</definedName>
    <definedName name="HPH_6_DRIP_TO_CONDENSOR" localSheetId="8">OFFSET(#REF!,0,0,COUNTA(#REF!)-4,1)</definedName>
    <definedName name="HPH_6_DRIP_TO_CONDENSOR" localSheetId="2">OFFSET(#REF!,0,0,COUNTA(#REF!)-4,1)</definedName>
    <definedName name="HPH_6_DRIP_TO_CONDENSOR" localSheetId="5">OFFSET(#REF!,0,0,COUNTA(#REF!)-4,1)</definedName>
    <definedName name="HPH_6_DRIP_TO_CONDENSOR" localSheetId="3">OFFSET(#REF!,0,0,COUNTA(#REF!)-4,1)</definedName>
    <definedName name="HPH_6_DRIP_TO_CONDENSOR" localSheetId="7">OFFSET(#REF!,0,0,COUNTA(#REF!)-4,1)</definedName>
    <definedName name="HPH_6_DRIP_TO_CONDENSOR">OFFSET(#REF!,0,0,COUNTA(#REF!)-4,1)</definedName>
    <definedName name="HPH_6_DRIP_TO_DEA" localSheetId="4">OFFSET(#REF!,0,0,COUNTA(#REF!)-4,1)</definedName>
    <definedName name="HPH_6_DRIP_TO_DEA" localSheetId="8">OFFSET(#REF!,0,0,COUNTA(#REF!)-4,1)</definedName>
    <definedName name="HPH_6_DRIP_TO_DEA" localSheetId="2">OFFSET(#REF!,0,0,COUNTA(#REF!)-4,1)</definedName>
    <definedName name="HPH_6_DRIP_TO_DEA" localSheetId="5">OFFSET(#REF!,0,0,COUNTA(#REF!)-4,1)</definedName>
    <definedName name="HPH_6_DRIP_TO_DEA" localSheetId="3">OFFSET(#REF!,0,0,COUNTA(#REF!)-4,1)</definedName>
    <definedName name="HPH_6_DRIP_TO_DEA" localSheetId="7">OFFSET(#REF!,0,0,COUNTA(#REF!)-4,1)</definedName>
    <definedName name="HPH_6_DRIP_TO_DEA">OFFSET(#REF!,0,0,COUNTA(#REF!)-4,1)</definedName>
    <definedName name="HPH_6_FW_I_L_TMP" localSheetId="4">OFFSET(#REF!,0,0,COUNTA(#REF!)-4,1)</definedName>
    <definedName name="HPH_6_FW_I_L_TMP" localSheetId="8">OFFSET(#REF!,0,0,COUNTA(#REF!)-4,1)</definedName>
    <definedName name="HPH_6_FW_I_L_TMP" localSheetId="2">OFFSET(#REF!,0,0,COUNTA(#REF!)-4,1)</definedName>
    <definedName name="HPH_6_FW_I_L_TMP" localSheetId="5">OFFSET(#REF!,0,0,COUNTA(#REF!)-4,1)</definedName>
    <definedName name="HPH_6_FW_I_L_TMP" localSheetId="3">OFFSET(#REF!,0,0,COUNTA(#REF!)-4,1)</definedName>
    <definedName name="HPH_6_FW_I_L_TMP" localSheetId="7">OFFSET(#REF!,0,0,COUNTA(#REF!)-4,1)</definedName>
    <definedName name="HPH_6_FW_I_L_TMP">OFFSET(#REF!,0,0,COUNTA(#REF!)-4,1)</definedName>
    <definedName name="HPH_6_FW_O_L_PR" localSheetId="4">OFFSET(#REF!,0,0,COUNTA(#REF!)-4,1)</definedName>
    <definedName name="HPH_6_FW_O_L_PR" localSheetId="8">OFFSET(#REF!,0,0,COUNTA(#REF!)-4,1)</definedName>
    <definedName name="HPH_6_FW_O_L_PR" localSheetId="2">OFFSET(#REF!,0,0,COUNTA(#REF!)-4,1)</definedName>
    <definedName name="HPH_6_FW_O_L_PR" localSheetId="5">OFFSET(#REF!,0,0,COUNTA(#REF!)-4,1)</definedName>
    <definedName name="HPH_6_FW_O_L_PR" localSheetId="3">OFFSET(#REF!,0,0,COUNTA(#REF!)-4,1)</definedName>
    <definedName name="HPH_6_FW_O_L_PR" localSheetId="7">OFFSET(#REF!,0,0,COUNTA(#REF!)-4,1)</definedName>
    <definedName name="HPH_6_FW_O_L_PR">OFFSET(#REF!,0,0,COUNTA(#REF!)-4,1)</definedName>
    <definedName name="hph5_fw_o_l_pr" localSheetId="4">OFFSET(#REF!,0,0,COUNTA(#REF!)-4,1)</definedName>
    <definedName name="hph5_fw_o_l_pr" localSheetId="8">OFFSET(#REF!,0,0,COUNTA(#REF!)-4,1)</definedName>
    <definedName name="hph5_fw_o_l_pr" localSheetId="2">OFFSET(#REF!,0,0,COUNTA(#REF!)-4,1)</definedName>
    <definedName name="hph5_fw_o_l_pr" localSheetId="5">OFFSET(#REF!,0,0,COUNTA(#REF!)-4,1)</definedName>
    <definedName name="hph5_fw_o_l_pr" localSheetId="3">OFFSET(#REF!,0,0,COUNTA(#REF!)-4,1)</definedName>
    <definedName name="hph5_fw_o_l_pr" localSheetId="7">OFFSET(#REF!,0,0,COUNTA(#REF!)-4,1)</definedName>
    <definedName name="hph5_fw_o_l_pr">OFFSET(#REF!,0,0,COUNTA(#REF!)-4,1)</definedName>
    <definedName name="HRH_TEMP_TUR_IL" localSheetId="4">OFFSET(#REF!,0,0,COUNTA(#REF!)-4,1)</definedName>
    <definedName name="HRH_TEMP_TUR_IL" localSheetId="8">OFFSET(#REF!,0,0,COUNTA(#REF!)-4,1)</definedName>
    <definedName name="HRH_TEMP_TUR_IL" localSheetId="2">OFFSET(#REF!,0,0,COUNTA(#REF!)-4,1)</definedName>
    <definedName name="HRH_TEMP_TUR_IL" localSheetId="5">OFFSET(#REF!,0,0,COUNTA(#REF!)-4,1)</definedName>
    <definedName name="HRH_TEMP_TUR_IL" localSheetId="3">OFFSET(#REF!,0,0,COUNTA(#REF!)-4,1)</definedName>
    <definedName name="HRH_TEMP_TUR_IL" localSheetId="7">OFFSET(#REF!,0,0,COUNTA(#REF!)-4,1)</definedName>
    <definedName name="HRH_TEMP_TUR_IL">OFFSET(#REF!,0,0,COUNTA(#REF!)-4,1)</definedName>
    <definedName name="HRH_TEMPERATURE" localSheetId="4">OFFSET(#REF!,0,0,COUNTA(#REF!)-4,1)</definedName>
    <definedName name="HRH_TEMPERATURE" localSheetId="8">OFFSET(#REF!,0,0,COUNTA(#REF!)-4,1)</definedName>
    <definedName name="HRH_TEMPERATURE" localSheetId="2">OFFSET(#REF!,0,0,COUNTA(#REF!)-4,1)</definedName>
    <definedName name="HRH_TEMPERATURE" localSheetId="5">OFFSET(#REF!,0,0,COUNTA(#REF!)-4,1)</definedName>
    <definedName name="HRH_TEMPERATURE" localSheetId="3">OFFSET(#REF!,0,0,COUNTA(#REF!)-4,1)</definedName>
    <definedName name="HRH_TEMPERATURE" localSheetId="7">OFFSET(#REF!,0,0,COUNTA(#REF!)-4,1)</definedName>
    <definedName name="HRH_TEMPERATURE">OFFSET(#REF!,0,0,COUNTA(#REF!)-4,1)</definedName>
    <definedName name="HRHPressure" localSheetId="4">OFFSET(#REF!,0,0,COUNTA(#REF!)-4,1)</definedName>
    <definedName name="HRHPressure" localSheetId="8">OFFSET(#REF!,0,0,COUNTA(#REF!)-4,1)</definedName>
    <definedName name="HRHPressure" localSheetId="2">OFFSET(#REF!,0,0,COUNTA(#REF!)-4,1)</definedName>
    <definedName name="HRHPressure" localSheetId="5">OFFSET(#REF!,0,0,COUNTA(#REF!)-4,1)</definedName>
    <definedName name="HRHPressure" localSheetId="3">OFFSET(#REF!,0,0,COUNTA(#REF!)-4,1)</definedName>
    <definedName name="HRHPressure" localSheetId="7">OFFSET(#REF!,0,0,COUNTA(#REF!)-4,1)</definedName>
    <definedName name="HRHPressure">OFFSET(#REF!,0,0,COUNTA(#REF!)-4,1)</definedName>
    <definedName name="ID_FAN_I_L_FLUE_GAS_TEMP_LHS" localSheetId="4">OFFSET(#REF!,0,0,COUNTA(#REF!)-4,1)</definedName>
    <definedName name="ID_FAN_I_L_FLUE_GAS_TEMP_LHS" localSheetId="8">OFFSET(#REF!,0,0,COUNTA(#REF!)-4,1)</definedName>
    <definedName name="ID_FAN_I_L_FLUE_GAS_TEMP_LHS" localSheetId="2">OFFSET(#REF!,0,0,COUNTA(#REF!)-4,1)</definedName>
    <definedName name="ID_FAN_I_L_FLUE_GAS_TEMP_LHS" localSheetId="5">OFFSET(#REF!,0,0,COUNTA(#REF!)-4,1)</definedName>
    <definedName name="ID_FAN_I_L_FLUE_GAS_TEMP_LHS" localSheetId="3">OFFSET(#REF!,0,0,COUNTA(#REF!)-4,1)</definedName>
    <definedName name="ID_FAN_I_L_FLUE_GAS_TEMP_LHS" localSheetId="7">OFFSET(#REF!,0,0,COUNTA(#REF!)-4,1)</definedName>
    <definedName name="ID_FAN_I_L_FLUE_GAS_TEMP_LHS">OFFSET(#REF!,0,0,COUNTA(#REF!)-4,1)</definedName>
    <definedName name="ID_FAN_I_L_FLUE_GAS_TEMP_RHS" localSheetId="4">OFFSET(#REF!,0,0,COUNTA(#REF!)-4,1)</definedName>
    <definedName name="ID_FAN_I_L_FLUE_GAS_TEMP_RHS" localSheetId="8">OFFSET(#REF!,0,0,COUNTA(#REF!)-4,1)</definedName>
    <definedName name="ID_FAN_I_L_FLUE_GAS_TEMP_RHS" localSheetId="2">OFFSET(#REF!,0,0,COUNTA(#REF!)-4,1)</definedName>
    <definedName name="ID_FAN_I_L_FLUE_GAS_TEMP_RHS" localSheetId="5">OFFSET(#REF!,0,0,COUNTA(#REF!)-4,1)</definedName>
    <definedName name="ID_FAN_I_L_FLUE_GAS_TEMP_RHS" localSheetId="3">OFFSET(#REF!,0,0,COUNTA(#REF!)-4,1)</definedName>
    <definedName name="ID_FAN_I_L_FLUE_GAS_TEMP_RHS" localSheetId="7">OFFSET(#REF!,0,0,COUNTA(#REF!)-4,1)</definedName>
    <definedName name="ID_FAN_I_L_FLUE_GAS_TEMP_RHS">OFFSET(#REF!,0,0,COUNTA(#REF!)-4,1)</definedName>
    <definedName name="Leakages_in_APH" localSheetId="4">OFFSET(#REF!,0,0,COUNTA(#REF!)-4,1)</definedName>
    <definedName name="Leakages_in_APH" localSheetId="8">OFFSET(#REF!,0,0,COUNTA(#REF!)-4,1)</definedName>
    <definedName name="Leakages_in_APH" localSheetId="2">OFFSET(#REF!,0,0,COUNTA(#REF!)-4,1)</definedName>
    <definedName name="Leakages_in_APH" localSheetId="5">OFFSET(#REF!,0,0,COUNTA(#REF!)-4,1)</definedName>
    <definedName name="Leakages_in_APH" localSheetId="3">OFFSET(#REF!,0,0,COUNTA(#REF!)-4,1)</definedName>
    <definedName name="Leakages_in_APH" localSheetId="7">OFFSET(#REF!,0,0,COUNTA(#REF!)-4,1)</definedName>
    <definedName name="Leakages_in_APH">OFFSET(#REF!,0,0,COUNTA(#REF!)-4,1)</definedName>
    <definedName name="LogDate" localSheetId="4">OFFSET(#REF!,0,0,COUNTA(#REF!)-4,1)</definedName>
    <definedName name="LogDate" localSheetId="8">OFFSET(#REF!,0,0,COUNTA(#REF!)-4,1)</definedName>
    <definedName name="LogDate" localSheetId="2">OFFSET(#REF!,0,0,COUNTA(#REF!)-4,1)</definedName>
    <definedName name="LogDate" localSheetId="5">OFFSET(#REF!,0,0,COUNTA(#REF!)-4,1)</definedName>
    <definedName name="LogDate" localSheetId="3">OFFSET(#REF!,0,0,COUNTA(#REF!)-4,1)</definedName>
    <definedName name="LogDate" localSheetId="7">OFFSET(#REF!,0,0,COUNTA(#REF!)-4,1)</definedName>
    <definedName name="LogDate">OFFSET(#REF!,0,0,COUNTA(#REF!)-4,1)</definedName>
    <definedName name="loss_due_to_Botm_ash" localSheetId="4">OFFSET(#REF!,0,0,COUNTA(#REF!)-4,1)</definedName>
    <definedName name="loss_due_to_Botm_ash" localSheetId="8">OFFSET(#REF!,0,0,COUNTA(#REF!)-4,1)</definedName>
    <definedName name="loss_due_to_Botm_ash" localSheetId="2">OFFSET(#REF!,0,0,COUNTA(#REF!)-4,1)</definedName>
    <definedName name="loss_due_to_Botm_ash" localSheetId="5">OFFSET(#REF!,0,0,COUNTA(#REF!)-4,1)</definedName>
    <definedName name="loss_due_to_Botm_ash" localSheetId="3">OFFSET(#REF!,0,0,COUNTA(#REF!)-4,1)</definedName>
    <definedName name="loss_due_to_Botm_ash" localSheetId="7">OFFSET(#REF!,0,0,COUNTA(#REF!)-4,1)</definedName>
    <definedName name="loss_due_to_Botm_ash">OFFSET(#REF!,0,0,COUNTA(#REF!)-4,1)</definedName>
    <definedName name="Loss_due_to_Fly_ash" localSheetId="4">OFFSET(#REF!,0,0,COUNTA(#REF!)-4,1)</definedName>
    <definedName name="Loss_due_to_Fly_ash" localSheetId="8">OFFSET(#REF!,0,0,COUNTA(#REF!)-4,1)</definedName>
    <definedName name="Loss_due_to_Fly_ash" localSheetId="2">OFFSET(#REF!,0,0,COUNTA(#REF!)-4,1)</definedName>
    <definedName name="Loss_due_to_Fly_ash" localSheetId="5">OFFSET(#REF!,0,0,COUNTA(#REF!)-4,1)</definedName>
    <definedName name="Loss_due_to_Fly_ash" localSheetId="3">OFFSET(#REF!,0,0,COUNTA(#REF!)-4,1)</definedName>
    <definedName name="Loss_due_to_Fly_ash" localSheetId="7">OFFSET(#REF!,0,0,COUNTA(#REF!)-4,1)</definedName>
    <definedName name="Loss_due_to_Fly_ash">OFFSET(#REF!,0,0,COUNTA(#REF!)-4,1)</definedName>
    <definedName name="loss_due_to_H2_in_fuel" localSheetId="4">OFFSET(#REF!,0,0,COUNTA(#REF!)-4,1)</definedName>
    <definedName name="loss_due_to_H2_in_fuel" localSheetId="8">OFFSET(#REF!,0,0,COUNTA(#REF!)-4,1)</definedName>
    <definedName name="loss_due_to_H2_in_fuel" localSheetId="2">OFFSET(#REF!,0,0,COUNTA(#REF!)-4,1)</definedName>
    <definedName name="loss_due_to_H2_in_fuel" localSheetId="5">OFFSET(#REF!,0,0,COUNTA(#REF!)-4,1)</definedName>
    <definedName name="loss_due_to_H2_in_fuel" localSheetId="3">OFFSET(#REF!,0,0,COUNTA(#REF!)-4,1)</definedName>
    <definedName name="loss_due_to_H2_in_fuel" localSheetId="7">OFFSET(#REF!,0,0,COUNTA(#REF!)-4,1)</definedName>
    <definedName name="loss_due_to_H2_in_fuel">OFFSET(#REF!,0,0,COUNTA(#REF!)-4,1)</definedName>
    <definedName name="loss_due_to_moisture_in_air" localSheetId="4">OFFSET(#REF!,0,0,COUNTA(#REF!)-4,1)</definedName>
    <definedName name="loss_due_to_moisture_in_air" localSheetId="8">OFFSET(#REF!,0,0,COUNTA(#REF!)-4,1)</definedName>
    <definedName name="loss_due_to_moisture_in_air" localSheetId="2">OFFSET(#REF!,0,0,COUNTA(#REF!)-4,1)</definedName>
    <definedName name="loss_due_to_moisture_in_air" localSheetId="5">OFFSET(#REF!,0,0,COUNTA(#REF!)-4,1)</definedName>
    <definedName name="loss_due_to_moisture_in_air" localSheetId="3">OFFSET(#REF!,0,0,COUNTA(#REF!)-4,1)</definedName>
    <definedName name="loss_due_to_moisture_in_air" localSheetId="7">OFFSET(#REF!,0,0,COUNTA(#REF!)-4,1)</definedName>
    <definedName name="loss_due_to_moisture_in_air">OFFSET(#REF!,0,0,COUNTA(#REF!)-4,1)</definedName>
    <definedName name="loss_due_to_moisture_in_fuel" localSheetId="4">OFFSET(#REF!,0,0,COUNTA(#REF!)-4,1)</definedName>
    <definedName name="loss_due_to_moisture_in_fuel" localSheetId="8">OFFSET(#REF!,0,0,COUNTA(#REF!)-4,1)</definedName>
    <definedName name="loss_due_to_moisture_in_fuel" localSheetId="2">OFFSET(#REF!,0,0,COUNTA(#REF!)-4,1)</definedName>
    <definedName name="loss_due_to_moisture_in_fuel" localSheetId="5">OFFSET(#REF!,0,0,COUNTA(#REF!)-4,1)</definedName>
    <definedName name="loss_due_to_moisture_in_fuel" localSheetId="3">OFFSET(#REF!,0,0,COUNTA(#REF!)-4,1)</definedName>
    <definedName name="loss_due_to_moisture_in_fuel" localSheetId="7">OFFSET(#REF!,0,0,COUNTA(#REF!)-4,1)</definedName>
    <definedName name="loss_due_to_moisture_in_fuel">OFFSET(#REF!,0,0,COUNTA(#REF!)-4,1)</definedName>
    <definedName name="LPH_O_L_CONDENSATE_TEMP" localSheetId="4">OFFSET(#REF!,0,0,COUNTA(#REF!)-2,1)</definedName>
    <definedName name="LPH_O_L_CONDENSATE_TEMP" localSheetId="8">OFFSET(#REF!,0,0,COUNTA(#REF!)-2,1)</definedName>
    <definedName name="LPH_O_L_CONDENSATE_TEMP" localSheetId="2">OFFSET(#REF!,0,0,COUNTA(#REF!)-2,1)</definedName>
    <definedName name="LPH_O_L_CONDENSATE_TEMP" localSheetId="5">OFFSET(#REF!,0,0,COUNTA(#REF!)-2,1)</definedName>
    <definedName name="LPH_O_L_CONDENSATE_TEMP" localSheetId="3">OFFSET(#REF!,0,0,COUNTA(#REF!)-2,1)</definedName>
    <definedName name="LPH_O_L_CONDENSATE_TEMP" localSheetId="7">OFFSET(#REF!,0,0,COUNTA(#REF!)-2,1)</definedName>
    <definedName name="LPH_O_L_CONDENSATE_TEMP">OFFSET(#REF!,0,0,COUNTA(#REF!)-2,1)</definedName>
    <definedName name="LTSH_O_L_FLUE_GAS_TEMP_LHS" localSheetId="4">OFFSET(#REF!,0,0,COUNTA(#REF!)-4,1)</definedName>
    <definedName name="LTSH_O_L_FLUE_GAS_TEMP_LHS" localSheetId="8">OFFSET(#REF!,0,0,COUNTA(#REF!)-4,1)</definedName>
    <definedName name="LTSH_O_L_FLUE_GAS_TEMP_LHS" localSheetId="2">OFFSET(#REF!,0,0,COUNTA(#REF!)-4,1)</definedName>
    <definedName name="LTSH_O_L_FLUE_GAS_TEMP_LHS" localSheetId="5">OFFSET(#REF!,0,0,COUNTA(#REF!)-4,1)</definedName>
    <definedName name="LTSH_O_L_FLUE_GAS_TEMP_LHS" localSheetId="3">OFFSET(#REF!,0,0,COUNTA(#REF!)-4,1)</definedName>
    <definedName name="LTSH_O_L_FLUE_GAS_TEMP_LHS" localSheetId="7">OFFSET(#REF!,0,0,COUNTA(#REF!)-4,1)</definedName>
    <definedName name="LTSH_O_L_FLUE_GAS_TEMP_LHS">OFFSET(#REF!,0,0,COUNTA(#REF!)-4,1)</definedName>
    <definedName name="LTSH_O_L_FLUE_GAS_TEMP_RHS" localSheetId="4">OFFSET(#REF!,0,0,COUNTA(#REF!)-4,1)</definedName>
    <definedName name="LTSH_O_L_FLUE_GAS_TEMP_RHS" localSheetId="8">OFFSET(#REF!,0,0,COUNTA(#REF!)-4,1)</definedName>
    <definedName name="LTSH_O_L_FLUE_GAS_TEMP_RHS" localSheetId="2">OFFSET(#REF!,0,0,COUNTA(#REF!)-4,1)</definedName>
    <definedName name="LTSH_O_L_FLUE_GAS_TEMP_RHS" localSheetId="5">OFFSET(#REF!,0,0,COUNTA(#REF!)-4,1)</definedName>
    <definedName name="LTSH_O_L_FLUE_GAS_TEMP_RHS" localSheetId="3">OFFSET(#REF!,0,0,COUNTA(#REF!)-4,1)</definedName>
    <definedName name="LTSH_O_L_FLUE_GAS_TEMP_RHS" localSheetId="7">OFFSET(#REF!,0,0,COUNTA(#REF!)-4,1)</definedName>
    <definedName name="LTSH_O_L_FLUE_GAS_TEMP_RHS">OFFSET(#REF!,0,0,COUNTA(#REF!)-4,1)</definedName>
    <definedName name="LTSH_O_L_STEAM_TEMP__LEFT" localSheetId="4">OFFSET(#REF!,0,0,COUNTA(#REF!)-4,1)</definedName>
    <definedName name="LTSH_O_L_STEAM_TEMP__LEFT" localSheetId="8">OFFSET(#REF!,0,0,COUNTA(#REF!)-4,1)</definedName>
    <definedName name="LTSH_O_L_STEAM_TEMP__LEFT" localSheetId="2">OFFSET(#REF!,0,0,COUNTA(#REF!)-4,1)</definedName>
    <definedName name="LTSH_O_L_STEAM_TEMP__LEFT" localSheetId="5">OFFSET(#REF!,0,0,COUNTA(#REF!)-4,1)</definedName>
    <definedName name="LTSH_O_L_STEAM_TEMP__LEFT" localSheetId="3">OFFSET(#REF!,0,0,COUNTA(#REF!)-4,1)</definedName>
    <definedName name="LTSH_O_L_STEAM_TEMP__LEFT" localSheetId="7">OFFSET(#REF!,0,0,COUNTA(#REF!)-4,1)</definedName>
    <definedName name="LTSH_O_L_STEAM_TEMP__LEFT">OFFSET(#REF!,0,0,COUNTA(#REF!)-4,1)</definedName>
    <definedName name="LTSH_O_L_STEAM_TEMP__RIGHT" localSheetId="4">OFFSET(#REF!,0,0,COUNTA(#REF!)-4,1)</definedName>
    <definedName name="LTSH_O_L_STEAM_TEMP__RIGHT" localSheetId="8">OFFSET(#REF!,0,0,COUNTA(#REF!)-4,1)</definedName>
    <definedName name="LTSH_O_L_STEAM_TEMP__RIGHT" localSheetId="2">OFFSET(#REF!,0,0,COUNTA(#REF!)-4,1)</definedName>
    <definedName name="LTSH_O_L_STEAM_TEMP__RIGHT" localSheetId="5">OFFSET(#REF!,0,0,COUNTA(#REF!)-4,1)</definedName>
    <definedName name="LTSH_O_L_STEAM_TEMP__RIGHT" localSheetId="3">OFFSET(#REF!,0,0,COUNTA(#REF!)-4,1)</definedName>
    <definedName name="LTSH_O_L_STEAM_TEMP__RIGHT" localSheetId="7">OFFSET(#REF!,0,0,COUNTA(#REF!)-4,1)</definedName>
    <definedName name="LTSH_O_L_STEAM_TEMP__RIGHT">OFFSET(#REF!,0,0,COUNTA(#REF!)-4,1)</definedName>
    <definedName name="METAL_TEMP_AT_FINAL_SH_LHS" localSheetId="4">OFFSET(#REF!,0,0,COUNTA(#REF!)-4,1)</definedName>
    <definedName name="METAL_TEMP_AT_FINAL_SH_LHS" localSheetId="8">OFFSET(#REF!,0,0,COUNTA(#REF!)-4,1)</definedName>
    <definedName name="METAL_TEMP_AT_FINAL_SH_LHS" localSheetId="2">OFFSET(#REF!,0,0,COUNTA(#REF!)-4,1)</definedName>
    <definedName name="METAL_TEMP_AT_FINAL_SH_LHS" localSheetId="5">OFFSET(#REF!,0,0,COUNTA(#REF!)-4,1)</definedName>
    <definedName name="METAL_TEMP_AT_FINAL_SH_LHS" localSheetId="3">OFFSET(#REF!,0,0,COUNTA(#REF!)-4,1)</definedName>
    <definedName name="METAL_TEMP_AT_FINAL_SH_LHS" localSheetId="7">OFFSET(#REF!,0,0,COUNTA(#REF!)-4,1)</definedName>
    <definedName name="METAL_TEMP_AT_FINAL_SH_LHS">OFFSET(#REF!,0,0,COUNTA(#REF!)-4,1)</definedName>
    <definedName name="METAL_TEMP_AT_FINAL_SH_RHS" localSheetId="4">OFFSET(#REF!,0,0,COUNTA(#REF!)-4,1)</definedName>
    <definedName name="METAL_TEMP_AT_FINAL_SH_RHS" localSheetId="8">OFFSET(#REF!,0,0,COUNTA(#REF!)-4,1)</definedName>
    <definedName name="METAL_TEMP_AT_FINAL_SH_RHS" localSheetId="2">OFFSET(#REF!,0,0,COUNTA(#REF!)-4,1)</definedName>
    <definedName name="METAL_TEMP_AT_FINAL_SH_RHS" localSheetId="5">OFFSET(#REF!,0,0,COUNTA(#REF!)-4,1)</definedName>
    <definedName name="METAL_TEMP_AT_FINAL_SH_RHS" localSheetId="3">OFFSET(#REF!,0,0,COUNTA(#REF!)-4,1)</definedName>
    <definedName name="METAL_TEMP_AT_FINAL_SH_RHS" localSheetId="7">OFFSET(#REF!,0,0,COUNTA(#REF!)-4,1)</definedName>
    <definedName name="METAL_TEMP_AT_FINAL_SH_RHS">OFFSET(#REF!,0,0,COUNTA(#REF!)-4,1)</definedName>
    <definedName name="METAL_TEMP_AT_PLATEN_SH_LHS" localSheetId="4">OFFSET(#REF!,0,0,COUNTA(#REF!)-4,1)</definedName>
    <definedName name="METAL_TEMP_AT_PLATEN_SH_LHS" localSheetId="8">OFFSET(#REF!,0,0,COUNTA(#REF!)-4,1)</definedName>
    <definedName name="METAL_TEMP_AT_PLATEN_SH_LHS" localSheetId="2">OFFSET(#REF!,0,0,COUNTA(#REF!)-4,1)</definedName>
    <definedName name="METAL_TEMP_AT_PLATEN_SH_LHS" localSheetId="5">OFFSET(#REF!,0,0,COUNTA(#REF!)-4,1)</definedName>
    <definedName name="METAL_TEMP_AT_PLATEN_SH_LHS" localSheetId="3">OFFSET(#REF!,0,0,COUNTA(#REF!)-4,1)</definedName>
    <definedName name="METAL_TEMP_AT_PLATEN_SH_LHS" localSheetId="7">OFFSET(#REF!,0,0,COUNTA(#REF!)-4,1)</definedName>
    <definedName name="METAL_TEMP_AT_PLATEN_SH_LHS">OFFSET(#REF!,0,0,COUNTA(#REF!)-4,1)</definedName>
    <definedName name="METAL_TEMP_AT_PLATEN_SH_RHS" localSheetId="4">OFFSET(#REF!,0,0,COUNTA(#REF!)-4,1)</definedName>
    <definedName name="METAL_TEMP_AT_PLATEN_SH_RHS" localSheetId="8">OFFSET(#REF!,0,0,COUNTA(#REF!)-4,1)</definedName>
    <definedName name="METAL_TEMP_AT_PLATEN_SH_RHS" localSheetId="2">OFFSET(#REF!,0,0,COUNTA(#REF!)-4,1)</definedName>
    <definedName name="METAL_TEMP_AT_PLATEN_SH_RHS" localSheetId="5">OFFSET(#REF!,0,0,COUNTA(#REF!)-4,1)</definedName>
    <definedName name="METAL_TEMP_AT_PLATEN_SH_RHS" localSheetId="3">OFFSET(#REF!,0,0,COUNTA(#REF!)-4,1)</definedName>
    <definedName name="METAL_TEMP_AT_PLATEN_SH_RHS" localSheetId="7">OFFSET(#REF!,0,0,COUNTA(#REF!)-4,1)</definedName>
    <definedName name="METAL_TEMP_AT_PLATEN_SH_RHS">OFFSET(#REF!,0,0,COUNTA(#REF!)-4,1)</definedName>
    <definedName name="month" localSheetId="4">OFFSET(#REF!,0,0,COUNTA(#REF!)-4,1)</definedName>
    <definedName name="month" localSheetId="8">OFFSET(#REF!,0,0,COUNTA(#REF!)-4,1)</definedName>
    <definedName name="month" localSheetId="2">OFFSET(#REF!,0,0,COUNTA(#REF!)-4,1)</definedName>
    <definedName name="month" localSheetId="5">OFFSET(#REF!,0,0,COUNTA(#REF!)-4,1)</definedName>
    <definedName name="month" localSheetId="3">OFFSET(#REF!,0,0,COUNTA(#REF!)-4,1)</definedName>
    <definedName name="month" localSheetId="7">OFFSET(#REF!,0,0,COUNTA(#REF!)-4,1)</definedName>
    <definedName name="month">OFFSET(#REF!,0,0,COUNTA(#REF!)-4,1)</definedName>
    <definedName name="monthRange" localSheetId="4">OFFSET(#REF!,0,0,COUNTA(#REF!)-4,1)</definedName>
    <definedName name="monthRange" localSheetId="8">OFFSET(#REF!,0,0,COUNTA(#REF!)-4,1)</definedName>
    <definedName name="monthRange" localSheetId="2">OFFSET(#REF!,0,0,COUNTA(#REF!)-4,1)</definedName>
    <definedName name="monthRange" localSheetId="5">OFFSET(#REF!,0,0,COUNTA(#REF!)-4,1)</definedName>
    <definedName name="monthRange" localSheetId="3">OFFSET(#REF!,0,0,COUNTA(#REF!)-4,1)</definedName>
    <definedName name="monthRange" localSheetId="7">OFFSET(#REF!,0,0,COUNTA(#REF!)-4,1)</definedName>
    <definedName name="monthRange">OFFSET(#REF!,0,0,COUNTA(#REF!)-4,1)</definedName>
    <definedName name="MS_Pr_ESV" localSheetId="4">OFFSET(#REF!,1,0,COUNTA(#REF!)-4,1)</definedName>
    <definedName name="MS_Pr_ESV" localSheetId="8">OFFSET(#REF!,1,0,COUNTA(#REF!)-4,1)</definedName>
    <definedName name="MS_Pr_ESV" localSheetId="2">OFFSET(#REF!,1,0,COUNTA(#REF!)-4,1)</definedName>
    <definedName name="MS_Pr_ESV" localSheetId="5">OFFSET(#REF!,1,0,COUNTA(#REF!)-4,1)</definedName>
    <definedName name="MS_Pr_ESV" localSheetId="3">OFFSET(#REF!,1,0,COUNTA(#REF!)-4,1)</definedName>
    <definedName name="MS_Pr_ESV" localSheetId="7">OFFSET(#REF!,1,0,COUNTA(#REF!)-4,1)</definedName>
    <definedName name="MS_Pr_ESV">OFFSET(#REF!,1,0,COUNTA(#REF!)-4,1)</definedName>
    <definedName name="MS_Temp" localSheetId="4">OFFSET(#REF!,0,0,COUNTA(#REF!)-4,1)</definedName>
    <definedName name="MS_Temp" localSheetId="8">OFFSET(#REF!,0,0,COUNTA(#REF!)-4,1)</definedName>
    <definedName name="MS_Temp" localSheetId="2">OFFSET(#REF!,0,0,COUNTA(#REF!)-4,1)</definedName>
    <definedName name="MS_Temp" localSheetId="5">OFFSET(#REF!,0,0,COUNTA(#REF!)-4,1)</definedName>
    <definedName name="MS_Temp" localSheetId="3">OFFSET(#REF!,0,0,COUNTA(#REF!)-4,1)</definedName>
    <definedName name="MS_Temp" localSheetId="7">OFFSET(#REF!,0,0,COUNTA(#REF!)-4,1)</definedName>
    <definedName name="MS_Temp">OFFSET(#REF!,0,0,COUNTA(#REF!)-4,1)</definedName>
    <definedName name="O2_AT_AH_A_O_L" localSheetId="4">OFFSET(#REF!,0,0,COUNTA(#REF!)-4,1)</definedName>
    <definedName name="O2_AT_AH_A_O_L" localSheetId="8">OFFSET(#REF!,0,0,COUNTA(#REF!)-4,1)</definedName>
    <definedName name="O2_AT_AH_A_O_L" localSheetId="2">OFFSET(#REF!,0,0,COUNTA(#REF!)-4,1)</definedName>
    <definedName name="O2_AT_AH_A_O_L" localSheetId="5">OFFSET(#REF!,0,0,COUNTA(#REF!)-4,1)</definedName>
    <definedName name="O2_AT_AH_A_O_L" localSheetId="3">OFFSET(#REF!,0,0,COUNTA(#REF!)-4,1)</definedName>
    <definedName name="O2_AT_AH_A_O_L" localSheetId="7">OFFSET(#REF!,0,0,COUNTA(#REF!)-4,1)</definedName>
    <definedName name="O2_AT_AH_A_O_L">OFFSET(#REF!,0,0,COUNTA(#REF!)-4,1)</definedName>
    <definedName name="O2_AT_AH_B_O_L" localSheetId="4">OFFSET(#REF!,0,0,COUNTA(#REF!)-4,1)</definedName>
    <definedName name="O2_AT_AH_B_O_L" localSheetId="8">OFFSET(#REF!,0,0,COUNTA(#REF!)-4,1)</definedName>
    <definedName name="O2_AT_AH_B_O_L" localSheetId="2">OFFSET(#REF!,0,0,COUNTA(#REF!)-4,1)</definedName>
    <definedName name="O2_AT_AH_B_O_L" localSheetId="5">OFFSET(#REF!,0,0,COUNTA(#REF!)-4,1)</definedName>
    <definedName name="O2_AT_AH_B_O_L" localSheetId="3">OFFSET(#REF!,0,0,COUNTA(#REF!)-4,1)</definedName>
    <definedName name="O2_AT_AH_B_O_L" localSheetId="7">OFFSET(#REF!,0,0,COUNTA(#REF!)-4,1)</definedName>
    <definedName name="O2_AT_AH_B_O_L">OFFSET(#REF!,0,0,COUNTA(#REF!)-4,1)</definedName>
    <definedName name="O2_AT_ECO_O_L_L" localSheetId="4">OFFSET(#REF!,0,0,COUNTA(#REF!)-4,1)</definedName>
    <definedName name="O2_AT_ECO_O_L_L" localSheetId="8">OFFSET(#REF!,0,0,COUNTA(#REF!)-4,1)</definedName>
    <definedName name="O2_AT_ECO_O_L_L" localSheetId="2">OFFSET(#REF!,0,0,COUNTA(#REF!)-4,1)</definedName>
    <definedName name="O2_AT_ECO_O_L_L" localSheetId="5">OFFSET(#REF!,0,0,COUNTA(#REF!)-4,1)</definedName>
    <definedName name="O2_AT_ECO_O_L_L" localSheetId="3">OFFSET(#REF!,0,0,COUNTA(#REF!)-4,1)</definedName>
    <definedName name="O2_AT_ECO_O_L_L" localSheetId="7">OFFSET(#REF!,0,0,COUNTA(#REF!)-4,1)</definedName>
    <definedName name="O2_AT_ECO_O_L_L">OFFSET(#REF!,0,0,COUNTA(#REF!)-4,1)</definedName>
    <definedName name="O2_AT_ECO_O_L_R" localSheetId="4">OFFSET(#REF!,0,0,COUNTA(#REF!)-4,1)</definedName>
    <definedName name="O2_AT_ECO_O_L_R" localSheetId="8">OFFSET(#REF!,0,0,COUNTA(#REF!)-4,1)</definedName>
    <definedName name="O2_AT_ECO_O_L_R" localSheetId="2">OFFSET(#REF!,0,0,COUNTA(#REF!)-4,1)</definedName>
    <definedName name="O2_AT_ECO_O_L_R" localSheetId="5">OFFSET(#REF!,0,0,COUNTA(#REF!)-4,1)</definedName>
    <definedName name="O2_AT_ECO_O_L_R" localSheetId="3">OFFSET(#REF!,0,0,COUNTA(#REF!)-4,1)</definedName>
    <definedName name="O2_AT_ECO_O_L_R" localSheetId="7">OFFSET(#REF!,0,0,COUNTA(#REF!)-4,1)</definedName>
    <definedName name="O2_AT_ECO_O_L_R">OFFSET(#REF!,0,0,COUNTA(#REF!)-4,1)</definedName>
    <definedName name="PA_FAN_A_O_L_TEMP" localSheetId="4">OFFSET(#REF!,0,0,COUNTA(#REF!)-4,1)</definedName>
    <definedName name="PA_FAN_A_O_L_TEMP" localSheetId="8">OFFSET(#REF!,0,0,COUNTA(#REF!)-4,1)</definedName>
    <definedName name="PA_FAN_A_O_L_TEMP" localSheetId="2">OFFSET(#REF!,0,0,COUNTA(#REF!)-4,1)</definedName>
    <definedName name="PA_FAN_A_O_L_TEMP" localSheetId="5">OFFSET(#REF!,0,0,COUNTA(#REF!)-4,1)</definedName>
    <definedName name="PA_FAN_A_O_L_TEMP" localSheetId="3">OFFSET(#REF!,0,0,COUNTA(#REF!)-4,1)</definedName>
    <definedName name="PA_FAN_A_O_L_TEMP" localSheetId="7">OFFSET(#REF!,0,0,COUNTA(#REF!)-4,1)</definedName>
    <definedName name="PA_FAN_A_O_L_TEMP">OFFSET(#REF!,0,0,COUNTA(#REF!)-4,1)</definedName>
    <definedName name="PA_FAN_B_O_L_TMP" localSheetId="4">OFFSET(#REF!,0,0,COUNTA(#REF!)-4,1)</definedName>
    <definedName name="PA_FAN_B_O_L_TMP" localSheetId="8">OFFSET(#REF!,0,0,COUNTA(#REF!)-4,1)</definedName>
    <definedName name="PA_FAN_B_O_L_TMP" localSheetId="2">OFFSET(#REF!,0,0,COUNTA(#REF!)-4,1)</definedName>
    <definedName name="PA_FAN_B_O_L_TMP" localSheetId="5">OFFSET(#REF!,0,0,COUNTA(#REF!)-4,1)</definedName>
    <definedName name="PA_FAN_B_O_L_TMP" localSheetId="3">OFFSET(#REF!,0,0,COUNTA(#REF!)-4,1)</definedName>
    <definedName name="PA_FAN_B_O_L_TMP" localSheetId="7">OFFSET(#REF!,0,0,COUNTA(#REF!)-4,1)</definedName>
    <definedName name="PA_FAN_B_O_L_TMP">OFFSET(#REF!,0,0,COUNTA(#REF!)-4,1)</definedName>
    <definedName name="PA_PRES_AT_APH_A_I_L" localSheetId="4">OFFSET(#REF!,0,0,COUNTA(#REF!)-4,1)</definedName>
    <definedName name="PA_PRES_AT_APH_A_I_L" localSheetId="8">OFFSET(#REF!,0,0,COUNTA(#REF!)-4,1)</definedName>
    <definedName name="PA_PRES_AT_APH_A_I_L" localSheetId="2">OFFSET(#REF!,0,0,COUNTA(#REF!)-4,1)</definedName>
    <definedName name="PA_PRES_AT_APH_A_I_L" localSheetId="5">OFFSET(#REF!,0,0,COUNTA(#REF!)-4,1)</definedName>
    <definedName name="PA_PRES_AT_APH_A_I_L" localSheetId="3">OFFSET(#REF!,0,0,COUNTA(#REF!)-4,1)</definedName>
    <definedName name="PA_PRES_AT_APH_A_I_L" localSheetId="7">OFFSET(#REF!,0,0,COUNTA(#REF!)-4,1)</definedName>
    <definedName name="PA_PRES_AT_APH_A_I_L">OFFSET(#REF!,0,0,COUNTA(#REF!)-4,1)</definedName>
    <definedName name="PA_PRES_AT_APH_A_O_L" localSheetId="4">OFFSET(#REF!,0,0,COUNTA(#REF!)-4,1)</definedName>
    <definedName name="PA_PRES_AT_APH_A_O_L" localSheetId="8">OFFSET(#REF!,0,0,COUNTA(#REF!)-4,1)</definedName>
    <definedName name="PA_PRES_AT_APH_A_O_L" localSheetId="2">OFFSET(#REF!,0,0,COUNTA(#REF!)-4,1)</definedName>
    <definedName name="PA_PRES_AT_APH_A_O_L" localSheetId="5">OFFSET(#REF!,0,0,COUNTA(#REF!)-4,1)</definedName>
    <definedName name="PA_PRES_AT_APH_A_O_L" localSheetId="3">OFFSET(#REF!,0,0,COUNTA(#REF!)-4,1)</definedName>
    <definedName name="PA_PRES_AT_APH_A_O_L" localSheetId="7">OFFSET(#REF!,0,0,COUNTA(#REF!)-4,1)</definedName>
    <definedName name="PA_PRES_AT_APH_A_O_L">OFFSET(#REF!,0,0,COUNTA(#REF!)-4,1)</definedName>
    <definedName name="PA_PRES_AT_APH_B_I_L" localSheetId="4">OFFSET(#REF!,0,0,COUNTA(#REF!)-4,1)</definedName>
    <definedName name="PA_PRES_AT_APH_B_I_L" localSheetId="8">OFFSET(#REF!,0,0,COUNTA(#REF!)-4,1)</definedName>
    <definedName name="PA_PRES_AT_APH_B_I_L" localSheetId="2">OFFSET(#REF!,0,0,COUNTA(#REF!)-4,1)</definedName>
    <definedName name="PA_PRES_AT_APH_B_I_L" localSheetId="5">OFFSET(#REF!,0,0,COUNTA(#REF!)-4,1)</definedName>
    <definedName name="PA_PRES_AT_APH_B_I_L" localSheetId="3">OFFSET(#REF!,0,0,COUNTA(#REF!)-4,1)</definedName>
    <definedName name="PA_PRES_AT_APH_B_I_L" localSheetId="7">OFFSET(#REF!,0,0,COUNTA(#REF!)-4,1)</definedName>
    <definedName name="PA_PRES_AT_APH_B_I_L">OFFSET(#REF!,0,0,COUNTA(#REF!)-4,1)</definedName>
    <definedName name="PA_PRES_AT_APH_B_O_L" localSheetId="4">OFFSET(#REF!,0,0,COUNTA(#REF!)-4,1)</definedName>
    <definedName name="PA_PRES_AT_APH_B_O_L" localSheetId="8">OFFSET(#REF!,0,0,COUNTA(#REF!)-4,1)</definedName>
    <definedName name="PA_PRES_AT_APH_B_O_L" localSheetId="2">OFFSET(#REF!,0,0,COUNTA(#REF!)-4,1)</definedName>
    <definedName name="PA_PRES_AT_APH_B_O_L" localSheetId="5">OFFSET(#REF!,0,0,COUNTA(#REF!)-4,1)</definedName>
    <definedName name="PA_PRES_AT_APH_B_O_L" localSheetId="3">OFFSET(#REF!,0,0,COUNTA(#REF!)-4,1)</definedName>
    <definedName name="PA_PRES_AT_APH_B_O_L" localSheetId="7">OFFSET(#REF!,0,0,COUNTA(#REF!)-4,1)</definedName>
    <definedName name="PA_PRES_AT_APH_B_O_L">OFFSET(#REF!,0,0,COUNTA(#REF!)-4,1)</definedName>
    <definedName name="PivotDeviationRange" localSheetId="4">OFFSET(#REF!,0,0,COUNTA(#REF!)-3,15)</definedName>
    <definedName name="PivotDeviationRange" localSheetId="8">OFFSET(#REF!,0,0,COUNTA(#REF!)-3,15)</definedName>
    <definedName name="PivotDeviationRange" localSheetId="2">OFFSET(#REF!,0,0,COUNTA(#REF!)-3,15)</definedName>
    <definedName name="PivotDeviationRange" localSheetId="5">OFFSET(#REF!,0,0,COUNTA(#REF!)-3,15)</definedName>
    <definedName name="PivotDeviationRange" localSheetId="3">OFFSET(#REF!,0,0,COUNTA(#REF!)-3,15)</definedName>
    <definedName name="PivotDeviationRange" localSheetId="7">OFFSET(#REF!,0,0,COUNTA(#REF!)-3,15)</definedName>
    <definedName name="PivotDeviationRange">OFFSET(#REF!,0,0,COUNTA(#REF!)-3,15)</definedName>
    <definedName name="PivotRange" localSheetId="4">OFFSET(#REF!,0,0,COUNTA(#REF!)-3,168)</definedName>
    <definedName name="PivotRange" localSheetId="8">OFFSET(#REF!,0,0,COUNTA(#REF!)-3,168)</definedName>
    <definedName name="PivotRange" localSheetId="2">OFFSET(#REF!,0,0,COUNTA(#REF!)-3,168)</definedName>
    <definedName name="PivotRange" localSheetId="5">OFFSET(#REF!,0,0,COUNTA(#REF!)-3,168)</definedName>
    <definedName name="PivotRange" localSheetId="3">OFFSET(#REF!,0,0,COUNTA(#REF!)-3,168)</definedName>
    <definedName name="PivotRange" localSheetId="7">OFFSET(#REF!,0,0,COUNTA(#REF!)-3,168)</definedName>
    <definedName name="PivotRange">OFFSET(#REF!,0,0,COUNTA(#REF!)-3,168)</definedName>
    <definedName name="PivotRangeHourly" localSheetId="4">OFFSET(#REF!,0,0,COUNTA(#REF!)-3,224)</definedName>
    <definedName name="PivotRangeHourly" localSheetId="8">OFFSET(#REF!,0,0,COUNTA(#REF!)-3,224)</definedName>
    <definedName name="PivotRangeHourly" localSheetId="2">OFFSET(#REF!,0,0,COUNTA(#REF!)-3,224)</definedName>
    <definedName name="PivotRangeHourly" localSheetId="5">OFFSET(#REF!,0,0,COUNTA(#REF!)-3,224)</definedName>
    <definedName name="PivotRangeHourly" localSheetId="3">OFFSET(#REF!,0,0,COUNTA(#REF!)-3,224)</definedName>
    <definedName name="PivotRangeHourly" localSheetId="7">OFFSET(#REF!,0,0,COUNTA(#REF!)-3,224)</definedName>
    <definedName name="PivotRangeHourly">OFFSET(#REF!,0,0,COUNTA(#REF!)-3,224)</definedName>
    <definedName name="pivotunburnt" localSheetId="4">OFFSET(#REF!,0,219,COUNTA(#REF!)-3,5)</definedName>
    <definedName name="pivotunburnt" localSheetId="8">OFFSET(#REF!,0,219,COUNTA(#REF!)-3,5)</definedName>
    <definedName name="pivotunburnt" localSheetId="2">OFFSET(#REF!,0,219,COUNTA(#REF!)-3,5)</definedName>
    <definedName name="pivotunburnt" localSheetId="5">OFFSET(#REF!,0,219,COUNTA(#REF!)-3,5)</definedName>
    <definedName name="pivotunburnt" localSheetId="3">OFFSET(#REF!,0,219,COUNTA(#REF!)-3,5)</definedName>
    <definedName name="pivotunburnt" localSheetId="7">OFFSET(#REF!,0,219,COUNTA(#REF!)-3,5)</definedName>
    <definedName name="pivotunburnt">OFFSET(#REF!,0,219,COUNTA(#REF!)-3,5)</definedName>
    <definedName name="PLATEN_O_L_FLUE_GAS_TEMP_LHS" localSheetId="4">OFFSET(#REF!,0,0,COUNTA(#REF!)-4,1)</definedName>
    <definedName name="PLATEN_O_L_FLUE_GAS_TEMP_LHS" localSheetId="8">OFFSET(#REF!,0,0,COUNTA(#REF!)-4,1)</definedName>
    <definedName name="PLATEN_O_L_FLUE_GAS_TEMP_LHS" localSheetId="2">OFFSET(#REF!,0,0,COUNTA(#REF!)-4,1)</definedName>
    <definedName name="PLATEN_O_L_FLUE_GAS_TEMP_LHS" localSheetId="5">OFFSET(#REF!,0,0,COUNTA(#REF!)-4,1)</definedName>
    <definedName name="PLATEN_O_L_FLUE_GAS_TEMP_LHS" localSheetId="3">OFFSET(#REF!,0,0,COUNTA(#REF!)-4,1)</definedName>
    <definedName name="PLATEN_O_L_FLUE_GAS_TEMP_LHS" localSheetId="7">OFFSET(#REF!,0,0,COUNTA(#REF!)-4,1)</definedName>
    <definedName name="PLATEN_O_L_FLUE_GAS_TEMP_LHS">OFFSET(#REF!,0,0,COUNTA(#REF!)-4,1)</definedName>
    <definedName name="PLATEN_O_L_FLUE_GAS_TEMP_RHS" localSheetId="4">OFFSET(#REF!,0,0,COUNTA(#REF!)-4,1)</definedName>
    <definedName name="PLATEN_O_L_FLUE_GAS_TEMP_RHS" localSheetId="8">OFFSET(#REF!,0,0,COUNTA(#REF!)-4,1)</definedName>
    <definedName name="PLATEN_O_L_FLUE_GAS_TEMP_RHS" localSheetId="2">OFFSET(#REF!,0,0,COUNTA(#REF!)-4,1)</definedName>
    <definedName name="PLATEN_O_L_FLUE_GAS_TEMP_RHS" localSheetId="5">OFFSET(#REF!,0,0,COUNTA(#REF!)-4,1)</definedName>
    <definedName name="PLATEN_O_L_FLUE_GAS_TEMP_RHS" localSheetId="3">OFFSET(#REF!,0,0,COUNTA(#REF!)-4,1)</definedName>
    <definedName name="PLATEN_O_L_FLUE_GAS_TEMP_RHS" localSheetId="7">OFFSET(#REF!,0,0,COUNTA(#REF!)-4,1)</definedName>
    <definedName name="PLATEN_O_L_FLUE_GAS_TEMP_RHS">OFFSET(#REF!,0,0,COUNTA(#REF!)-4,1)</definedName>
    <definedName name="PLATEN_SH_O_L_STEAM_TEMP__RIGHT" localSheetId="4">OFFSET(#REF!,0,0,COUNTA(#REF!)-4,1)</definedName>
    <definedName name="PLATEN_SH_O_L_STEAM_TEMP__RIGHT" localSheetId="8">OFFSET(#REF!,0,0,COUNTA(#REF!)-4,1)</definedName>
    <definedName name="PLATEN_SH_O_L_STEAM_TEMP__RIGHT" localSheetId="2">OFFSET(#REF!,0,0,COUNTA(#REF!)-4,1)</definedName>
    <definedName name="PLATEN_SH_O_L_STEAM_TEMP__RIGHT" localSheetId="5">OFFSET(#REF!,0,0,COUNTA(#REF!)-4,1)</definedName>
    <definedName name="PLATEN_SH_O_L_STEAM_TEMP__RIGHT" localSheetId="3">OFFSET(#REF!,0,0,COUNTA(#REF!)-4,1)</definedName>
    <definedName name="PLATEN_SH_O_L_STEAM_TEMP__RIGHT" localSheetId="7">OFFSET(#REF!,0,0,COUNTA(#REF!)-4,1)</definedName>
    <definedName name="PLATEN_SH_O_L_STEAM_TEMP__RIGHT">OFFSET(#REF!,0,0,COUNTA(#REF!)-4,1)</definedName>
    <definedName name="PRDS_FLOW_FROM_CRH" localSheetId="4">OFFSET(#REF!,0,0,COUNTA(#REF!)-2,1)</definedName>
    <definedName name="PRDS_FLOW_FROM_CRH" localSheetId="8">OFFSET(#REF!,0,0,COUNTA(#REF!)-2,1)</definedName>
    <definedName name="PRDS_FLOW_FROM_CRH" localSheetId="2">OFFSET(#REF!,0,0,COUNTA(#REF!)-2,1)</definedName>
    <definedName name="PRDS_FLOW_FROM_CRH" localSheetId="5">OFFSET(#REF!,0,0,COUNTA(#REF!)-2,1)</definedName>
    <definedName name="PRDS_FLOW_FROM_CRH" localSheetId="3">OFFSET(#REF!,0,0,COUNTA(#REF!)-2,1)</definedName>
    <definedName name="PRDS_FLOW_FROM_CRH" localSheetId="7">OFFSET(#REF!,0,0,COUNTA(#REF!)-2,1)</definedName>
    <definedName name="PRDS_FLOW_FROM_CRH">OFFSET(#REF!,0,0,COUNTA(#REF!)-2,1)</definedName>
    <definedName name="PRDS_FLOW_FROM_MS" localSheetId="4">OFFSET(#REF!,0,0,COUNTA(#REF!)-2,1)</definedName>
    <definedName name="PRDS_FLOW_FROM_MS" localSheetId="8">OFFSET(#REF!,0,0,COUNTA(#REF!)-2,1)</definedName>
    <definedName name="PRDS_FLOW_FROM_MS" localSheetId="2">OFFSET(#REF!,0,0,COUNTA(#REF!)-2,1)</definedName>
    <definedName name="PRDS_FLOW_FROM_MS" localSheetId="5">OFFSET(#REF!,0,0,COUNTA(#REF!)-2,1)</definedName>
    <definedName name="PRDS_FLOW_FROM_MS" localSheetId="3">OFFSET(#REF!,0,0,COUNTA(#REF!)-2,1)</definedName>
    <definedName name="PRDS_FLOW_FROM_MS" localSheetId="7">OFFSET(#REF!,0,0,COUNTA(#REF!)-2,1)</definedName>
    <definedName name="PRDS_FLOW_FROM_MS">OFFSET(#REF!,0,0,COUNTA(#REF!)-2,1)</definedName>
    <definedName name="_xlnm.Print_Area" localSheetId="6">SUMMARY!$A$1:$D$23</definedName>
    <definedName name="_xlnm.Print_Area" localSheetId="7">'SUMMARY (2)'!$A$1:$H$23</definedName>
    <definedName name="REHEATER_O_L_FLUE_GAS_TEMP_LHS" localSheetId="4">OFFSET(#REF!,0,0,COUNTA(#REF!)-4,1)</definedName>
    <definedName name="REHEATER_O_L_FLUE_GAS_TEMP_LHS" localSheetId="8">OFFSET(#REF!,0,0,COUNTA(#REF!)-4,1)</definedName>
    <definedName name="REHEATER_O_L_FLUE_GAS_TEMP_LHS" localSheetId="2">OFFSET(#REF!,0,0,COUNTA(#REF!)-4,1)</definedName>
    <definedName name="REHEATER_O_L_FLUE_GAS_TEMP_LHS" localSheetId="5">OFFSET(#REF!,0,0,COUNTA(#REF!)-4,1)</definedName>
    <definedName name="REHEATER_O_L_FLUE_GAS_TEMP_LHS" localSheetId="3">OFFSET(#REF!,0,0,COUNTA(#REF!)-4,1)</definedName>
    <definedName name="REHEATER_O_L_FLUE_GAS_TEMP_LHS" localSheetId="7">OFFSET(#REF!,0,0,COUNTA(#REF!)-4,1)</definedName>
    <definedName name="REHEATER_O_L_FLUE_GAS_TEMP_LHS">OFFSET(#REF!,0,0,COUNTA(#REF!)-4,1)</definedName>
    <definedName name="REHEATER_O_L_FLUE_GAS_TEMP_RHS" localSheetId="4">OFFSET(#REF!,0,0,COUNTA(#REF!)-4,1)</definedName>
    <definedName name="REHEATER_O_L_FLUE_GAS_TEMP_RHS" localSheetId="8">OFFSET(#REF!,0,0,COUNTA(#REF!)-4,1)</definedName>
    <definedName name="REHEATER_O_L_FLUE_GAS_TEMP_RHS" localSheetId="2">OFFSET(#REF!,0,0,COUNTA(#REF!)-4,1)</definedName>
    <definedName name="REHEATER_O_L_FLUE_GAS_TEMP_RHS" localSheetId="5">OFFSET(#REF!,0,0,COUNTA(#REF!)-4,1)</definedName>
    <definedName name="REHEATER_O_L_FLUE_GAS_TEMP_RHS" localSheetId="3">OFFSET(#REF!,0,0,COUNTA(#REF!)-4,1)</definedName>
    <definedName name="REHEATER_O_L_FLUE_GAS_TEMP_RHS" localSheetId="7">OFFSET(#REF!,0,0,COUNTA(#REF!)-4,1)</definedName>
    <definedName name="REHEATER_O_L_FLUE_GAS_TEMP_RHS">OFFSET(#REF!,0,0,COUNTA(#REF!)-4,1)</definedName>
    <definedName name="S" localSheetId="4">OFFSET(#REF!,0,0,COUNTA(#REF!)-4,1)</definedName>
    <definedName name="S" localSheetId="8">OFFSET(#REF!,0,0,COUNTA(#REF!)-4,1)</definedName>
    <definedName name="S" localSheetId="2">OFFSET(#REF!,0,0,COUNTA(#REF!)-4,1)</definedName>
    <definedName name="S" localSheetId="5">OFFSET(#REF!,0,0,COUNTA(#REF!)-4,1)</definedName>
    <definedName name="S" localSheetId="3">OFFSET(#REF!,0,0,COUNTA(#REF!)-4,1)</definedName>
    <definedName name="S" localSheetId="7">OFFSET(#REF!,0,0,COUNTA(#REF!)-4,1)</definedName>
    <definedName name="S">OFFSET(#REF!,0,0,COUNTA(#REF!)-4,1)</definedName>
    <definedName name="SBDateList" localSheetId="4">OFFSET(#REF!,0,0,COUNTA(#REF!)-1,1)</definedName>
    <definedName name="SBDateList" localSheetId="8">OFFSET(#REF!,0,0,COUNTA(#REF!)-1,1)</definedName>
    <definedName name="SBDateList" localSheetId="2">OFFSET(#REF!,0,0,COUNTA(#REF!)-1,1)</definedName>
    <definedName name="SBDateList" localSheetId="5">OFFSET(#REF!,0,0,COUNTA(#REF!)-1,1)</definedName>
    <definedName name="SBDateList" localSheetId="3">OFFSET(#REF!,0,0,COUNTA(#REF!)-1,1)</definedName>
    <definedName name="SBDateList" localSheetId="7">OFFSET(#REF!,0,0,COUNTA(#REF!)-1,1)</definedName>
    <definedName name="SBDateList">OFFSET(#REF!,0,0,COUNTA(#REF!)-1,1)</definedName>
    <definedName name="SBdistinctList" localSheetId="4">OFFSET(#REF!,0,0,COUNTA(#REF!)-1,1)</definedName>
    <definedName name="SBdistinctList" localSheetId="8">OFFSET(#REF!,0,0,COUNTA(#REF!)-1,1)</definedName>
    <definedName name="SBdistinctList" localSheetId="2">OFFSET(#REF!,0,0,COUNTA(#REF!)-1,1)</definedName>
    <definedName name="SBdistinctList" localSheetId="5">OFFSET(#REF!,0,0,COUNTA(#REF!)-1,1)</definedName>
    <definedName name="SBdistinctList" localSheetId="3">OFFSET(#REF!,0,0,COUNTA(#REF!)-1,1)</definedName>
    <definedName name="SBdistinctList" localSheetId="7">OFFSET(#REF!,0,0,COUNTA(#REF!)-1,1)</definedName>
    <definedName name="SBdistinctList">OFFSET(#REF!,0,0,COUNTA(#REF!)-1,1)</definedName>
    <definedName name="SBTimeList" localSheetId="4">OFFSET(#REF!,0,0,COUNTA(#REF!)-1,1)</definedName>
    <definedName name="SBTimeList" localSheetId="8">OFFSET(#REF!,0,0,COUNTA(#REF!)-1,1)</definedName>
    <definedName name="SBTimeList" localSheetId="2">OFFSET(#REF!,0,0,COUNTA(#REF!)-1,1)</definedName>
    <definedName name="SBTimeList" localSheetId="5">OFFSET(#REF!,0,0,COUNTA(#REF!)-1,1)</definedName>
    <definedName name="SBTimeList" localSheetId="3">OFFSET(#REF!,0,0,COUNTA(#REF!)-1,1)</definedName>
    <definedName name="SBTimeList" localSheetId="7">OFFSET(#REF!,0,0,COUNTA(#REF!)-1,1)</definedName>
    <definedName name="SBTimeList">OFFSET(#REF!,0,0,COUNTA(#REF!)-1,1)</definedName>
    <definedName name="SECOND_STAGE_SPRAY_FLOW" localSheetId="4">OFFSET(#REF!,0,0,COUNTA(#REF!)-4,1)</definedName>
    <definedName name="SECOND_STAGE_SPRAY_FLOW" localSheetId="8">OFFSET(#REF!,0,0,COUNTA(#REF!)-4,1)</definedName>
    <definedName name="SECOND_STAGE_SPRAY_FLOW" localSheetId="2">OFFSET(#REF!,0,0,COUNTA(#REF!)-4,1)</definedName>
    <definedName name="SECOND_STAGE_SPRAY_FLOW" localSheetId="5">OFFSET(#REF!,0,0,COUNTA(#REF!)-4,1)</definedName>
    <definedName name="SECOND_STAGE_SPRAY_FLOW" localSheetId="3">OFFSET(#REF!,0,0,COUNTA(#REF!)-4,1)</definedName>
    <definedName name="SECOND_STAGE_SPRAY_FLOW" localSheetId="7">OFFSET(#REF!,0,0,COUNTA(#REF!)-4,1)</definedName>
    <definedName name="SECOND_STAGE_SPRAY_FLOW">OFFSET(#REF!,0,0,COUNTA(#REF!)-4,1)</definedName>
    <definedName name="SECONDARY_AIR_APH_A_I_L_TEMP" localSheetId="4">OFFSET(#REF!,0,0,COUNTA(#REF!)-4,1)</definedName>
    <definedName name="SECONDARY_AIR_APH_A_I_L_TEMP" localSheetId="8">OFFSET(#REF!,0,0,COUNTA(#REF!)-4,1)</definedName>
    <definedName name="SECONDARY_AIR_APH_A_I_L_TEMP" localSheetId="2">OFFSET(#REF!,0,0,COUNTA(#REF!)-4,1)</definedName>
    <definedName name="SECONDARY_AIR_APH_A_I_L_TEMP" localSheetId="5">OFFSET(#REF!,0,0,COUNTA(#REF!)-4,1)</definedName>
    <definedName name="SECONDARY_AIR_APH_A_I_L_TEMP" localSheetId="3">OFFSET(#REF!,0,0,COUNTA(#REF!)-4,1)</definedName>
    <definedName name="SECONDARY_AIR_APH_A_I_L_TEMP" localSheetId="7">OFFSET(#REF!,0,0,COUNTA(#REF!)-4,1)</definedName>
    <definedName name="SECONDARY_AIR_APH_A_I_L_TEMP">OFFSET(#REF!,0,0,COUNTA(#REF!)-4,1)</definedName>
    <definedName name="SECONDARY_AIR_APH_A_O_L_TEMP" localSheetId="4">OFFSET(#REF!,0,0,COUNTA(#REF!)-4,1)</definedName>
    <definedName name="SECONDARY_AIR_APH_A_O_L_TEMP" localSheetId="8">OFFSET(#REF!,0,0,COUNTA(#REF!)-4,1)</definedName>
    <definedName name="SECONDARY_AIR_APH_A_O_L_TEMP" localSheetId="2">OFFSET(#REF!,0,0,COUNTA(#REF!)-4,1)</definedName>
    <definedName name="SECONDARY_AIR_APH_A_O_L_TEMP" localSheetId="5">OFFSET(#REF!,0,0,COUNTA(#REF!)-4,1)</definedName>
    <definedName name="SECONDARY_AIR_APH_A_O_L_TEMP" localSheetId="3">OFFSET(#REF!,0,0,COUNTA(#REF!)-4,1)</definedName>
    <definedName name="SECONDARY_AIR_APH_A_O_L_TEMP" localSheetId="7">OFFSET(#REF!,0,0,COUNTA(#REF!)-4,1)</definedName>
    <definedName name="SECONDARY_AIR_APH_A_O_L_TEMP">OFFSET(#REF!,0,0,COUNTA(#REF!)-4,1)</definedName>
    <definedName name="SECONDARY_AIR_APH_B_O_L_TEMP" localSheetId="4">OFFSET(#REF!,0,0,COUNTA(#REF!)-4,1)</definedName>
    <definedName name="SECONDARY_AIR_APH_B_O_L_TEMP" localSheetId="8">OFFSET(#REF!,0,0,COUNTA(#REF!)-4,1)</definedName>
    <definedName name="SECONDARY_AIR_APH_B_O_L_TEMP" localSheetId="2">OFFSET(#REF!,0,0,COUNTA(#REF!)-4,1)</definedName>
    <definedName name="SECONDARY_AIR_APH_B_O_L_TEMP" localSheetId="5">OFFSET(#REF!,0,0,COUNTA(#REF!)-4,1)</definedName>
    <definedName name="SECONDARY_AIR_APH_B_O_L_TEMP" localSheetId="3">OFFSET(#REF!,0,0,COUNTA(#REF!)-4,1)</definedName>
    <definedName name="SECONDARY_AIR_APH_B_O_L_TEMP" localSheetId="7">OFFSET(#REF!,0,0,COUNTA(#REF!)-4,1)</definedName>
    <definedName name="SECONDARY_AIR_APH_B_O_L_TEMP">OFFSET(#REF!,0,0,COUNTA(#REF!)-4,1)</definedName>
    <definedName name="SECONDARY_AIR_PRES_AT_APH_A_I_L" localSheetId="4">OFFSET(#REF!,0,0,COUNTA(#REF!)-4,1)</definedName>
    <definedName name="SECONDARY_AIR_PRES_AT_APH_A_I_L" localSheetId="8">OFFSET(#REF!,0,0,COUNTA(#REF!)-4,1)</definedName>
    <definedName name="SECONDARY_AIR_PRES_AT_APH_A_I_L" localSheetId="2">OFFSET(#REF!,0,0,COUNTA(#REF!)-4,1)</definedName>
    <definedName name="SECONDARY_AIR_PRES_AT_APH_A_I_L" localSheetId="5">OFFSET(#REF!,0,0,COUNTA(#REF!)-4,1)</definedName>
    <definedName name="SECONDARY_AIR_PRES_AT_APH_A_I_L" localSheetId="3">OFFSET(#REF!,0,0,COUNTA(#REF!)-4,1)</definedName>
    <definedName name="SECONDARY_AIR_PRES_AT_APH_A_I_L" localSheetId="7">OFFSET(#REF!,0,0,COUNTA(#REF!)-4,1)</definedName>
    <definedName name="SECONDARY_AIR_PRES_AT_APH_A_I_L">OFFSET(#REF!,0,0,COUNTA(#REF!)-4,1)</definedName>
    <definedName name="SECONDARY_AIR_PRES_AT_APH_A_O_L" localSheetId="4">OFFSET(#REF!,0,0,COUNTA(#REF!)-4,1)</definedName>
    <definedName name="SECONDARY_AIR_PRES_AT_APH_A_O_L" localSheetId="8">OFFSET(#REF!,0,0,COUNTA(#REF!)-4,1)</definedName>
    <definedName name="SECONDARY_AIR_PRES_AT_APH_A_O_L" localSheetId="2">OFFSET(#REF!,0,0,COUNTA(#REF!)-4,1)</definedName>
    <definedName name="SECONDARY_AIR_PRES_AT_APH_A_O_L" localSheetId="5">OFFSET(#REF!,0,0,COUNTA(#REF!)-4,1)</definedName>
    <definedName name="SECONDARY_AIR_PRES_AT_APH_A_O_L" localSheetId="3">OFFSET(#REF!,0,0,COUNTA(#REF!)-4,1)</definedName>
    <definedName name="SECONDARY_AIR_PRES_AT_APH_A_O_L" localSheetId="7">OFFSET(#REF!,0,0,COUNTA(#REF!)-4,1)</definedName>
    <definedName name="SECONDARY_AIR_PRES_AT_APH_A_O_L">OFFSET(#REF!,0,0,COUNTA(#REF!)-4,1)</definedName>
    <definedName name="SECONDARY_AIR_PRES_AT_APH_B_I_L" localSheetId="4">OFFSET(#REF!,0,0,COUNTA(#REF!)-4,1)</definedName>
    <definedName name="SECONDARY_AIR_PRES_AT_APH_B_I_L" localSheetId="8">OFFSET(#REF!,0,0,COUNTA(#REF!)-4,1)</definedName>
    <definedName name="SECONDARY_AIR_PRES_AT_APH_B_I_L" localSheetId="2">OFFSET(#REF!,0,0,COUNTA(#REF!)-4,1)</definedName>
    <definedName name="SECONDARY_AIR_PRES_AT_APH_B_I_L" localSheetId="5">OFFSET(#REF!,0,0,COUNTA(#REF!)-4,1)</definedName>
    <definedName name="SECONDARY_AIR_PRES_AT_APH_B_I_L" localSheetId="3">OFFSET(#REF!,0,0,COUNTA(#REF!)-4,1)</definedName>
    <definedName name="SECONDARY_AIR_PRES_AT_APH_B_I_L" localSheetId="7">OFFSET(#REF!,0,0,COUNTA(#REF!)-4,1)</definedName>
    <definedName name="SECONDARY_AIR_PRES_AT_APH_B_I_L">OFFSET(#REF!,0,0,COUNTA(#REF!)-4,1)</definedName>
    <definedName name="Shift" localSheetId="4">OFFSET(#REF!,0,0,COUNTA(#REF!)-4,1)</definedName>
    <definedName name="Shift" localSheetId="8">OFFSET(#REF!,0,0,COUNTA(#REF!)-4,1)</definedName>
    <definedName name="Shift" localSheetId="2">OFFSET(#REF!,0,0,COUNTA(#REF!)-4,1)</definedName>
    <definedName name="Shift" localSheetId="5">OFFSET(#REF!,0,0,COUNTA(#REF!)-4,1)</definedName>
    <definedName name="Shift" localSheetId="3">OFFSET(#REF!,0,0,COUNTA(#REF!)-4,1)</definedName>
    <definedName name="Shift" localSheetId="7">OFFSET(#REF!,0,0,COUNTA(#REF!)-4,1)</definedName>
    <definedName name="Shift">OFFSET(#REF!,0,0,COUNTA(#REF!)-4,1)</definedName>
    <definedName name="ShiftDate" localSheetId="4">OFFSET(#REF!,0,0,COUNTA(#REF!)-4,1)</definedName>
    <definedName name="ShiftDate" localSheetId="8">OFFSET(#REF!,0,0,COUNTA(#REF!)-4,1)</definedName>
    <definedName name="ShiftDate" localSheetId="2">OFFSET(#REF!,0,0,COUNTA(#REF!)-4,1)</definedName>
    <definedName name="ShiftDate" localSheetId="5">OFFSET(#REF!,0,0,COUNTA(#REF!)-4,1)</definedName>
    <definedName name="ShiftDate" localSheetId="3">OFFSET(#REF!,0,0,COUNTA(#REF!)-4,1)</definedName>
    <definedName name="ShiftDate" localSheetId="7">OFFSET(#REF!,0,0,COUNTA(#REF!)-4,1)</definedName>
    <definedName name="ShiftDate">OFFSET(#REF!,0,0,COUNTA(#REF!)-4,1)</definedName>
    <definedName name="Slicer_LogDate">#N/A</definedName>
    <definedName name="Slicer_MonthName">#N/A</definedName>
    <definedName name="Slicer_Shift">#N/A</definedName>
    <definedName name="STM_PR_IN_EXTR_3" localSheetId="4">OFFSET(#REF!,0,0,COUNTA(#REF!)-4,1)</definedName>
    <definedName name="STM_PR_IN_EXTR_3" localSheetId="8">OFFSET(#REF!,0,0,COUNTA(#REF!)-4,1)</definedName>
    <definedName name="STM_PR_IN_EXTR_3" localSheetId="2">OFFSET(#REF!,0,0,COUNTA(#REF!)-4,1)</definedName>
    <definedName name="STM_PR_IN_EXTR_3" localSheetId="5">OFFSET(#REF!,0,0,COUNTA(#REF!)-4,1)</definedName>
    <definedName name="STM_PR_IN_EXTR_3" localSheetId="3">OFFSET(#REF!,0,0,COUNTA(#REF!)-4,1)</definedName>
    <definedName name="STM_PR_IN_EXTR_3" localSheetId="7">OFFSET(#REF!,0,0,COUNTA(#REF!)-4,1)</definedName>
    <definedName name="STM_PR_IN_EXTR_3">OFFSET(#REF!,0,0,COUNTA(#REF!)-4,1)</definedName>
    <definedName name="TimeListBlockwise" localSheetId="7">#REF!</definedName>
    <definedName name="TimeListBlockwise">#REF!</definedName>
    <definedName name="TimeValueList" localSheetId="7">#REF!</definedName>
    <definedName name="TimeValueList">#REF!</definedName>
    <definedName name="TM" localSheetId="4">OFFSET(#REF!,0,0,COUNTA(#REF!)-4,1)</definedName>
    <definedName name="TM" localSheetId="8">OFFSET(#REF!,0,0,COUNTA(#REF!)-4,1)</definedName>
    <definedName name="TM" localSheetId="2">OFFSET(#REF!,0,0,COUNTA(#REF!)-4,1)</definedName>
    <definedName name="TM" localSheetId="5">OFFSET(#REF!,0,0,COUNTA(#REF!)-4,1)</definedName>
    <definedName name="TM" localSheetId="3">OFFSET(#REF!,0,0,COUNTA(#REF!)-4,1)</definedName>
    <definedName name="TM" localSheetId="7">OFFSET(#REF!,0,0,COUNTA(#REF!)-4,1)</definedName>
    <definedName name="TM">OFFSET(#REF!,0,0,COUNTA(#REF!)-4,1)</definedName>
    <definedName name="TOTAL_AIR_FLOW" localSheetId="4">OFFSET(#REF!,0,0,COUNTA(#REF!)-4,1)</definedName>
    <definedName name="TOTAL_AIR_FLOW" localSheetId="8">OFFSET(#REF!,0,0,COUNTA(#REF!)-4,1)</definedName>
    <definedName name="TOTAL_AIR_FLOW" localSheetId="2">OFFSET(#REF!,0,0,COUNTA(#REF!)-4,1)</definedName>
    <definedName name="TOTAL_AIR_FLOW" localSheetId="5">OFFSET(#REF!,0,0,COUNTA(#REF!)-4,1)</definedName>
    <definedName name="TOTAL_AIR_FLOW" localSheetId="3">OFFSET(#REF!,0,0,COUNTA(#REF!)-4,1)</definedName>
    <definedName name="TOTAL_AIR_FLOW" localSheetId="7">OFFSET(#REF!,0,0,COUNTA(#REF!)-4,1)</definedName>
    <definedName name="TOTAL_AIR_FLOW">OFFSET(#REF!,0,0,COUNTA(#REF!)-4,1)</definedName>
    <definedName name="Total_Coal_TPH" localSheetId="4">OFFSET(#REF!,0,0,COUNTA(#REF!)-4,1)</definedName>
    <definedName name="Total_Coal_TPH" localSheetId="8">OFFSET(#REF!,0,0,COUNTA(#REF!)-4,1)</definedName>
    <definedName name="Total_Coal_TPH" localSheetId="2">OFFSET(#REF!,0,0,COUNTA(#REF!)-4,1)</definedName>
    <definedName name="Total_Coal_TPH" localSheetId="5">OFFSET(#REF!,0,0,COUNTA(#REF!)-4,1)</definedName>
    <definedName name="Total_Coal_TPH" localSheetId="3">OFFSET(#REF!,0,0,COUNTA(#REF!)-4,1)</definedName>
    <definedName name="Total_Coal_TPH" localSheetId="7">OFFSET(#REF!,0,0,COUNTA(#REF!)-4,1)</definedName>
    <definedName name="Total_Coal_TPH">OFFSET(#REF!,0,0,COUNTA(#REF!)-4,1)</definedName>
    <definedName name="TOTAL_MS_FLOW" localSheetId="4">OFFSET(#REF!,0,0,COUNTA(#REF!)-4,1)</definedName>
    <definedName name="TOTAL_MS_FLOW" localSheetId="8">OFFSET(#REF!,0,0,COUNTA(#REF!)-4,1)</definedName>
    <definedName name="TOTAL_MS_FLOW" localSheetId="2">OFFSET(#REF!,0,0,COUNTA(#REF!)-4,1)</definedName>
    <definedName name="TOTAL_MS_FLOW" localSheetId="5">OFFSET(#REF!,0,0,COUNTA(#REF!)-4,1)</definedName>
    <definedName name="TOTAL_MS_FLOW" localSheetId="3">OFFSET(#REF!,0,0,COUNTA(#REF!)-4,1)</definedName>
    <definedName name="TOTAL_MS_FLOW" localSheetId="7">OFFSET(#REF!,0,0,COUNTA(#REF!)-4,1)</definedName>
    <definedName name="TOTAL_MS_FLOW">OFFSET(#REF!,0,0,COUNTA(#REF!)-4,1)</definedName>
    <definedName name="TOTAL_PA_FLOW" localSheetId="4">OFFSET(#REF!,0,0,COUNTA(#REF!)-4,1)</definedName>
    <definedName name="TOTAL_PA_FLOW" localSheetId="8">OFFSET(#REF!,0,0,COUNTA(#REF!)-4,1)</definedName>
    <definedName name="TOTAL_PA_FLOW" localSheetId="2">OFFSET(#REF!,0,0,COUNTA(#REF!)-4,1)</definedName>
    <definedName name="TOTAL_PA_FLOW" localSheetId="5">OFFSET(#REF!,0,0,COUNTA(#REF!)-4,1)</definedName>
    <definedName name="TOTAL_PA_FLOW" localSheetId="3">OFFSET(#REF!,0,0,COUNTA(#REF!)-4,1)</definedName>
    <definedName name="TOTAL_PA_FLOW" localSheetId="7">OFFSET(#REF!,0,0,COUNTA(#REF!)-4,1)</definedName>
    <definedName name="TOTAL_PA_FLOW">OFFSET(#REF!,0,0,COUNTA(#REF!)-4,1)</definedName>
    <definedName name="Total_RH_Spray_Flow_TPH" localSheetId="4">OFFSET(#REF!,0,0,COUNTA(#REF!)-4,1)</definedName>
    <definedName name="Total_RH_Spray_Flow_TPH" localSheetId="8">OFFSET(#REF!,0,0,COUNTA(#REF!)-4,1)</definedName>
    <definedName name="Total_RH_Spray_Flow_TPH" localSheetId="2">OFFSET(#REF!,0,0,COUNTA(#REF!)-4,1)</definedName>
    <definedName name="Total_RH_Spray_Flow_TPH" localSheetId="5">OFFSET(#REF!,0,0,COUNTA(#REF!)-4,1)</definedName>
    <definedName name="Total_RH_Spray_Flow_TPH" localSheetId="3">OFFSET(#REF!,0,0,COUNTA(#REF!)-4,1)</definedName>
    <definedName name="Total_RH_Spray_Flow_TPH" localSheetId="7">OFFSET(#REF!,0,0,COUNTA(#REF!)-4,1)</definedName>
    <definedName name="Total_RH_Spray_Flow_TPH">OFFSET(#REF!,0,0,COUNTA(#REF!)-4,1)</definedName>
    <definedName name="TOTAL_SEC_AIR_FLOW" localSheetId="4">OFFSET(#REF!,0,0,COUNTA(#REF!)-4,1)</definedName>
    <definedName name="TOTAL_SEC_AIR_FLOW" localSheetId="8">OFFSET(#REF!,0,0,COUNTA(#REF!)-4,1)</definedName>
    <definedName name="TOTAL_SEC_AIR_FLOW" localSheetId="2">OFFSET(#REF!,0,0,COUNTA(#REF!)-4,1)</definedName>
    <definedName name="TOTAL_SEC_AIR_FLOW" localSheetId="5">OFFSET(#REF!,0,0,COUNTA(#REF!)-4,1)</definedName>
    <definedName name="TOTAL_SEC_AIR_FLOW" localSheetId="3">OFFSET(#REF!,0,0,COUNTA(#REF!)-4,1)</definedName>
    <definedName name="TOTAL_SEC_AIR_FLOW" localSheetId="7">OFFSET(#REF!,0,0,COUNTA(#REF!)-4,1)</definedName>
    <definedName name="TOTAL_SEC_AIR_FLOW">OFFSET(#REF!,0,0,COUNTA(#REF!)-4,1)</definedName>
    <definedName name="Total_SH_Spray_Flow_TPH" localSheetId="4">OFFSET(#REF!,0,0,COUNTA(#REF!)-4,1)</definedName>
    <definedName name="Total_SH_Spray_Flow_TPH" localSheetId="8">OFFSET(#REF!,0,0,COUNTA(#REF!)-4,1)</definedName>
    <definedName name="Total_SH_Spray_Flow_TPH" localSheetId="2">OFFSET(#REF!,0,0,COUNTA(#REF!)-4,1)</definedName>
    <definedName name="Total_SH_Spray_Flow_TPH" localSheetId="5">OFFSET(#REF!,0,0,COUNTA(#REF!)-4,1)</definedName>
    <definedName name="Total_SH_Spray_Flow_TPH" localSheetId="3">OFFSET(#REF!,0,0,COUNTA(#REF!)-4,1)</definedName>
    <definedName name="Total_SH_Spray_Flow_TPH" localSheetId="7">OFFSET(#REF!,0,0,COUNTA(#REF!)-4,1)</definedName>
    <definedName name="Total_SH_Spray_Flow_TPH">OFFSET(#REF!,0,0,COUNTA(#REF!)-4,1)</definedName>
    <definedName name="U" localSheetId="4">OFFSET(#REF!,0,0,COUNTA(#REF!)-4,1)</definedName>
    <definedName name="U" localSheetId="8">OFFSET(#REF!,0,0,COUNTA(#REF!)-4,1)</definedName>
    <definedName name="U" localSheetId="2">OFFSET(#REF!,0,0,COUNTA(#REF!)-4,1)</definedName>
    <definedName name="U" localSheetId="5">OFFSET(#REF!,0,0,COUNTA(#REF!)-4,1)</definedName>
    <definedName name="U" localSheetId="3">OFFSET(#REF!,0,0,COUNTA(#REF!)-4,1)</definedName>
    <definedName name="U" localSheetId="7">OFFSET(#REF!,0,0,COUNTA(#REF!)-4,1)</definedName>
    <definedName name="U">OFFSET(#REF!,0,0,COUNTA(#REF!)-4,1)</definedName>
    <definedName name="U_ba" localSheetId="4">OFFSET(#REF!,0,0,COUNTA(#REF!)-4,1)</definedName>
    <definedName name="U_ba" localSheetId="8">OFFSET(#REF!,0,0,COUNTA(#REF!)-4,1)</definedName>
    <definedName name="U_ba" localSheetId="2">OFFSET(#REF!,0,0,COUNTA(#REF!)-4,1)</definedName>
    <definedName name="U_ba" localSheetId="5">OFFSET(#REF!,0,0,COUNTA(#REF!)-4,1)</definedName>
    <definedName name="U_ba" localSheetId="3">OFFSET(#REF!,0,0,COUNTA(#REF!)-4,1)</definedName>
    <definedName name="U_ba" localSheetId="7">OFFSET(#REF!,0,0,COUNTA(#REF!)-4,1)</definedName>
    <definedName name="U_ba">OFFSET(#REF!,0,0,COUNTA(#REF!)-4,1)</definedName>
    <definedName name="U_fa" localSheetId="4">OFFSET(#REF!,0,0,COUNTA(#REF!)-4,1)</definedName>
    <definedName name="U_fa" localSheetId="8">OFFSET(#REF!,0,0,COUNTA(#REF!)-4,1)</definedName>
    <definedName name="U_fa" localSheetId="2">OFFSET(#REF!,0,0,COUNTA(#REF!)-4,1)</definedName>
    <definedName name="U_fa" localSheetId="5">OFFSET(#REF!,0,0,COUNTA(#REF!)-4,1)</definedName>
    <definedName name="U_fa" localSheetId="3">OFFSET(#REF!,0,0,COUNTA(#REF!)-4,1)</definedName>
    <definedName name="U_fa" localSheetId="7">OFFSET(#REF!,0,0,COUNTA(#REF!)-4,1)</definedName>
    <definedName name="U_fa">OFFSET(#REF!,0,0,COUNTA(#REF!)-4,1)</definedName>
    <definedName name="Unit_Load_MW" localSheetId="4">OFFSET(#REF!,0,0,COUNTA(#REF!)-4,1)</definedName>
    <definedName name="Unit_Load_MW" localSheetId="8">OFFSET(#REF!,0,0,COUNTA(#REF!)-4,1)</definedName>
    <definedName name="Unit_Load_MW" localSheetId="2">OFFSET(#REF!,0,0,COUNTA(#REF!)-4,1)</definedName>
    <definedName name="Unit_Load_MW" localSheetId="5">OFFSET(#REF!,0,0,COUNTA(#REF!)-4,1)</definedName>
    <definedName name="Unit_Load_MW" localSheetId="3">OFFSET(#REF!,0,0,COUNTA(#REF!)-4,1)</definedName>
    <definedName name="Unit_Load_MW" localSheetId="7">OFFSET(#REF!,0,0,COUNTA(#REF!)-4,1)</definedName>
    <definedName name="Unit_Load_MW">OFFSET(#REF!,0,0,COUNTA(#REF!)-4,1)</definedName>
    <definedName name="UnitName" localSheetId="4">OFFSET(#REF!,0,0,COUNTA(#REF!)-4,1)</definedName>
    <definedName name="UnitName" localSheetId="8">OFFSET(#REF!,0,0,COUNTA(#REF!)-4,1)</definedName>
    <definedName name="UnitName" localSheetId="2">OFFSET(#REF!,0,0,COUNTA(#REF!)-4,1)</definedName>
    <definedName name="UnitName" localSheetId="5">OFFSET(#REF!,0,0,COUNTA(#REF!)-4,1)</definedName>
    <definedName name="UnitName" localSheetId="3">OFFSET(#REF!,0,0,COUNTA(#REF!)-4,1)</definedName>
    <definedName name="UnitName" localSheetId="7">OFFSET(#REF!,0,0,COUNTA(#REF!)-4,1)</definedName>
    <definedName name="UnitName">OFFSET(#REF!,0,0,COUNTA(#REF!)-4,1)</definedName>
    <definedName name="Z1_" localSheetId="4">OFFSET(#REF!,0,0,COUNTA(#REF!)-4,1)</definedName>
    <definedName name="Z1_" localSheetId="8">OFFSET(#REF!,0,0,COUNTA(#REF!)-4,1)</definedName>
    <definedName name="Z1_" localSheetId="2">OFFSET(#REF!,0,0,COUNTA(#REF!)-4,1)</definedName>
    <definedName name="Z1_" localSheetId="5">OFFSET(#REF!,0,0,COUNTA(#REF!)-4,1)</definedName>
    <definedName name="Z1_" localSheetId="3">OFFSET(#REF!,0,0,COUNTA(#REF!)-4,1)</definedName>
    <definedName name="Z1_" localSheetId="7">OFFSET(#REF!,0,0,COUNTA(#REF!)-4,1)</definedName>
    <definedName name="Z1_">OFFSET(#REF!,0,0,COUNTA(#REF!)-4,1)</definedName>
  </definedNames>
  <calcPr calcId="152511"/>
</workbook>
</file>

<file path=xl/calcChain.xml><?xml version="1.0" encoding="utf-8"?>
<calcChain xmlns="http://schemas.openxmlformats.org/spreadsheetml/2006/main">
  <c r="A6" i="65" l="1"/>
  <c r="B6" i="65"/>
  <c r="C6" i="65"/>
  <c r="D6" i="65"/>
  <c r="E6" i="65"/>
  <c r="F6" i="65"/>
  <c r="G6" i="65"/>
  <c r="H6" i="65"/>
  <c r="I6" i="65"/>
  <c r="J6" i="65"/>
  <c r="K6" i="65"/>
  <c r="L6" i="65"/>
  <c r="M6" i="65"/>
  <c r="N6" i="65"/>
  <c r="O6" i="65"/>
  <c r="P6" i="65"/>
  <c r="Q6" i="65"/>
  <c r="R6" i="65"/>
  <c r="S6" i="65"/>
  <c r="T6" i="65"/>
  <c r="U6" i="65"/>
  <c r="V6" i="65"/>
  <c r="W6" i="65"/>
  <c r="X6" i="65"/>
  <c r="Y6" i="65"/>
  <c r="Z6" i="65"/>
  <c r="AA6" i="65"/>
  <c r="AB6" i="65"/>
  <c r="AC6" i="65"/>
  <c r="AD6" i="65"/>
  <c r="AE6" i="65"/>
  <c r="AF6" i="65"/>
  <c r="AG6" i="65"/>
  <c r="AH6" i="65"/>
  <c r="AI6" i="65"/>
  <c r="AJ6" i="65"/>
  <c r="AK6" i="65"/>
  <c r="AL6" i="65"/>
  <c r="AM6" i="65"/>
  <c r="AN6" i="65"/>
  <c r="AO6" i="65"/>
  <c r="AP6" i="65"/>
  <c r="AQ6" i="65"/>
  <c r="AR6" i="65"/>
  <c r="AS6" i="65"/>
  <c r="AT6" i="65"/>
  <c r="AU6" i="65"/>
  <c r="AV6" i="65"/>
  <c r="AW6" i="65"/>
  <c r="AX6" i="65"/>
  <c r="AY6" i="65"/>
  <c r="AZ6" i="65"/>
  <c r="BA6" i="65"/>
  <c r="BB6" i="65"/>
  <c r="BC6" i="65"/>
  <c r="BD6" i="65"/>
  <c r="BE6" i="65"/>
  <c r="BF6" i="65"/>
  <c r="BG6" i="65"/>
  <c r="BH6" i="65"/>
  <c r="BI6" i="65"/>
  <c r="BJ6" i="65"/>
  <c r="BK6" i="65"/>
  <c r="BL6" i="65"/>
  <c r="BM6" i="65"/>
  <c r="BN6" i="65"/>
  <c r="BO6" i="65"/>
  <c r="BP6" i="65"/>
  <c r="BQ6" i="65"/>
  <c r="BR6" i="65"/>
  <c r="BS6" i="65"/>
  <c r="BT6" i="65"/>
  <c r="BU6" i="65"/>
  <c r="BV6" i="65"/>
  <c r="BW6" i="65"/>
  <c r="BX6" i="65"/>
  <c r="BY6" i="65"/>
  <c r="BZ6" i="65"/>
  <c r="CA6" i="65"/>
  <c r="CB6" i="65"/>
  <c r="CC6" i="65"/>
  <c r="CD6" i="65"/>
  <c r="CE6" i="65"/>
  <c r="CF6" i="65"/>
  <c r="CG6" i="65"/>
  <c r="CH6" i="65"/>
  <c r="CI6" i="65"/>
  <c r="CJ6" i="65"/>
  <c r="CK6" i="65"/>
  <c r="CL6" i="65"/>
  <c r="CM6" i="65"/>
  <c r="CN6" i="65"/>
  <c r="CO6" i="65"/>
  <c r="CP6" i="65"/>
  <c r="CQ6" i="65"/>
  <c r="CR6" i="65"/>
  <c r="CS6" i="65"/>
  <c r="CT6" i="65"/>
  <c r="CU6" i="65"/>
  <c r="CV6" i="65"/>
  <c r="CW6" i="65"/>
  <c r="CX6" i="65"/>
  <c r="CY6" i="65"/>
  <c r="CZ6" i="65"/>
  <c r="DA6" i="65"/>
  <c r="DB6" i="65"/>
  <c r="DC6" i="65"/>
  <c r="DD6" i="65"/>
  <c r="DE6" i="65"/>
  <c r="DF6" i="65"/>
  <c r="DG6" i="65"/>
  <c r="DH6" i="65"/>
  <c r="DI6" i="65"/>
  <c r="DJ6" i="65"/>
  <c r="DK6" i="65"/>
  <c r="DL6" i="65"/>
  <c r="DM6" i="65"/>
  <c r="DN6" i="65"/>
  <c r="DO6" i="65"/>
  <c r="DP6" i="65"/>
  <c r="DQ6" i="65"/>
  <c r="DR6" i="65"/>
  <c r="DS6" i="65"/>
  <c r="DT6" i="65"/>
  <c r="DU6" i="65"/>
  <c r="DV6" i="65"/>
  <c r="DW6" i="65"/>
  <c r="DX6" i="65"/>
  <c r="H23" i="71" l="1"/>
  <c r="C53" i="66" l="1"/>
  <c r="B9" i="69" l="1"/>
  <c r="B8" i="69"/>
  <c r="B7" i="69"/>
  <c r="B6" i="69"/>
  <c r="B5" i="69"/>
  <c r="G27" i="68"/>
  <c r="G23" i="68"/>
  <c r="C55" i="66" l="1"/>
  <c r="C54" i="66"/>
  <c r="C46" i="66"/>
  <c r="C45" i="66"/>
  <c r="B30" i="68"/>
  <c r="C42" i="66" l="1"/>
  <c r="B29" i="68"/>
  <c r="J302" i="67" l="1"/>
  <c r="N259" i="67"/>
  <c r="N179" i="67"/>
  <c r="N178" i="67"/>
  <c r="N69" i="67"/>
  <c r="N67" i="67"/>
  <c r="N66" i="67"/>
  <c r="N65" i="67"/>
  <c r="N64" i="67"/>
  <c r="N10" i="67"/>
  <c r="G28" i="68" l="1"/>
  <c r="G26" i="68"/>
  <c r="G24" i="68"/>
  <c r="G22" i="68"/>
  <c r="G17" i="68"/>
  <c r="N265" i="67"/>
  <c r="J265" i="67" s="1"/>
  <c r="N19" i="67"/>
  <c r="N18" i="67"/>
  <c r="N17" i="67"/>
  <c r="N16" i="67"/>
  <c r="J30" i="67" s="1"/>
  <c r="N14" i="67"/>
  <c r="N12" i="67"/>
  <c r="J203" i="67" s="1"/>
  <c r="J204" i="67" s="1"/>
  <c r="N9" i="67"/>
  <c r="J7" i="67" s="1"/>
  <c r="N8" i="67"/>
  <c r="N62" i="67" s="1"/>
  <c r="N7" i="67"/>
  <c r="J5" i="67" s="1"/>
  <c r="N6" i="67"/>
  <c r="E139" i="67" s="1"/>
  <c r="J139" i="67" s="1"/>
  <c r="N5" i="67"/>
  <c r="J12" i="67" s="1"/>
  <c r="D14" i="67" s="1"/>
  <c r="D5" i="69"/>
  <c r="J294" i="67"/>
  <c r="J259" i="67"/>
  <c r="N253" i="67"/>
  <c r="J253" i="67" s="1"/>
  <c r="J198" i="67"/>
  <c r="H199" i="67" s="1"/>
  <c r="J237" i="67"/>
  <c r="E144" i="67"/>
  <c r="E141" i="67"/>
  <c r="J97" i="67"/>
  <c r="J118" i="67" s="1"/>
  <c r="E124" i="67" s="1"/>
  <c r="J79" i="67"/>
  <c r="J81" i="67" s="1"/>
  <c r="J69" i="67"/>
  <c r="J68" i="67"/>
  <c r="J65" i="67"/>
  <c r="J64" i="67"/>
  <c r="F57" i="67"/>
  <c r="I49" i="67"/>
  <c r="H49" i="67"/>
  <c r="G49" i="67"/>
  <c r="F49" i="67"/>
  <c r="E49" i="67"/>
  <c r="D49" i="67"/>
  <c r="D51" i="67" s="1"/>
  <c r="I43" i="67"/>
  <c r="H43" i="67"/>
  <c r="G43" i="67"/>
  <c r="F43" i="67"/>
  <c r="E43" i="67"/>
  <c r="D43" i="67"/>
  <c r="D45" i="67" s="1"/>
  <c r="I35" i="67"/>
  <c r="H35" i="67"/>
  <c r="G35" i="67"/>
  <c r="F35" i="67"/>
  <c r="E35" i="67"/>
  <c r="D35" i="67"/>
  <c r="D37" i="67" s="1"/>
  <c r="D39" i="67" s="1"/>
  <c r="J22" i="67"/>
  <c r="I21" i="67"/>
  <c r="H21" i="67"/>
  <c r="G21" i="67"/>
  <c r="F21" i="67"/>
  <c r="E21" i="67"/>
  <c r="D21" i="67"/>
  <c r="D23" i="67" s="1"/>
  <c r="N273" i="67"/>
  <c r="J273" i="67" s="1"/>
  <c r="N272" i="67"/>
  <c r="J272" i="67" s="1"/>
  <c r="C52" i="66"/>
  <c r="G16" i="68" s="1"/>
  <c r="C51" i="66"/>
  <c r="G15" i="68" s="1"/>
  <c r="C49" i="66"/>
  <c r="G14" i="68" s="1"/>
  <c r="C48" i="66"/>
  <c r="N255" i="67"/>
  <c r="J255" i="67" s="1"/>
  <c r="N254" i="67"/>
  <c r="J254" i="67" s="1"/>
  <c r="C44" i="66"/>
  <c r="G9" i="68" s="1"/>
  <c r="C43" i="66"/>
  <c r="G12" i="68" s="1"/>
  <c r="C41" i="66"/>
  <c r="C40" i="66"/>
  <c r="C39" i="66"/>
  <c r="C38" i="66"/>
  <c r="N241" i="67" s="1"/>
  <c r="J241" i="67" s="1"/>
  <c r="C34" i="66"/>
  <c r="N177" i="67" s="1"/>
  <c r="C33" i="66"/>
  <c r="N176" i="67" s="1"/>
  <c r="F175" i="67" s="1"/>
  <c r="C32" i="66"/>
  <c r="N175" i="67" s="1"/>
  <c r="J26" i="67" s="1"/>
  <c r="C31" i="66"/>
  <c r="N174" i="67" s="1"/>
  <c r="N70" i="67" s="1"/>
  <c r="J84" i="67" s="1"/>
  <c r="J86" i="67" s="1"/>
  <c r="C30" i="66"/>
  <c r="N161" i="67" s="1"/>
  <c r="E193" i="67" s="1"/>
  <c r="C29" i="66"/>
  <c r="N160" i="67" s="1"/>
  <c r="G157" i="67" s="1"/>
  <c r="C28" i="66"/>
  <c r="N159" i="67" s="1"/>
  <c r="E175" i="67" s="1"/>
  <c r="C27" i="66"/>
  <c r="N158" i="67" s="1"/>
  <c r="F157" i="67" s="1"/>
  <c r="C26" i="66"/>
  <c r="N157" i="67" s="1"/>
  <c r="D157" i="67" s="1"/>
  <c r="C25" i="66"/>
  <c r="N156" i="67" s="1"/>
  <c r="J218" i="67" s="1"/>
  <c r="C18" i="66"/>
  <c r="G5" i="68" s="1"/>
  <c r="C16" i="66"/>
  <c r="G8" i="68" s="1"/>
  <c r="F40" i="41"/>
  <c r="C15" i="39"/>
  <c r="F14" i="41"/>
  <c r="F16" i="41"/>
  <c r="F91" i="41"/>
  <c r="G14" i="39"/>
  <c r="C16" i="39"/>
  <c r="G15" i="39"/>
  <c r="F34" i="41"/>
  <c r="F99" i="41"/>
  <c r="F67" i="41"/>
  <c r="C22" i="39"/>
  <c r="F54" i="41"/>
  <c r="F81" i="41"/>
  <c r="F73" i="41"/>
  <c r="J274" i="67"/>
  <c r="F28" i="41"/>
  <c r="G16" i="39"/>
  <c r="F96" i="41"/>
  <c r="F97" i="41"/>
  <c r="F51" i="41"/>
  <c r="G24" i="39"/>
  <c r="G12" i="39"/>
  <c r="F45" i="41"/>
  <c r="F55" i="41"/>
  <c r="F31" i="41"/>
  <c r="F69" i="41"/>
  <c r="C11" i="39"/>
  <c r="F47" i="41"/>
  <c r="F26" i="41"/>
  <c r="G25" i="39"/>
  <c r="C29" i="39"/>
  <c r="F48" i="41"/>
  <c r="F36" i="41"/>
  <c r="F46" i="41"/>
  <c r="F90" i="41"/>
  <c r="F100" i="41"/>
  <c r="C8" i="39"/>
  <c r="F107" i="41"/>
  <c r="F70" i="41"/>
  <c r="F39" i="41"/>
  <c r="C28" i="39"/>
  <c r="C10" i="39"/>
  <c r="G22" i="39"/>
  <c r="F11" i="41"/>
  <c r="B23" i="68"/>
  <c r="F30" i="41"/>
  <c r="F104" i="41"/>
  <c r="F57" i="41"/>
  <c r="B24" i="68"/>
  <c r="F103" i="41"/>
  <c r="F77" i="41"/>
  <c r="F21" i="41"/>
  <c r="F44" i="41"/>
  <c r="F23" i="41"/>
  <c r="F20" i="41"/>
  <c r="F87" i="41"/>
  <c r="F64" i="41"/>
  <c r="F62" i="41"/>
  <c r="F59" i="41"/>
  <c r="F80" i="41"/>
  <c r="F24" i="41"/>
  <c r="F63" i="41"/>
  <c r="C26" i="39"/>
  <c r="F33" i="41"/>
  <c r="F60" i="41"/>
  <c r="F22" i="41"/>
  <c r="F98" i="41"/>
  <c r="F95" i="41"/>
  <c r="F38" i="41"/>
  <c r="F15" i="41"/>
  <c r="F76" i="41"/>
  <c r="F19" i="41"/>
  <c r="F78" i="41"/>
  <c r="F68" i="41"/>
  <c r="F41" i="41"/>
  <c r="F86" i="41"/>
  <c r="F52" i="41"/>
  <c r="G23" i="39"/>
  <c r="C12" i="39"/>
  <c r="C23" i="39"/>
  <c r="F42" i="41"/>
  <c r="G11" i="39"/>
  <c r="F106" i="41"/>
  <c r="G10" i="39"/>
  <c r="F37" i="41"/>
  <c r="F111" i="41"/>
  <c r="B25" i="68"/>
  <c r="F18" i="41"/>
  <c r="F9" i="41"/>
  <c r="J256" i="67"/>
  <c r="F10" i="41"/>
  <c r="F79" i="41"/>
  <c r="F65" i="41"/>
  <c r="F56" i="41"/>
  <c r="F53" i="41"/>
  <c r="F71" i="41"/>
  <c r="F25" i="41"/>
  <c r="F85" i="41"/>
  <c r="F112" i="41"/>
  <c r="G8" i="39"/>
  <c r="F32" i="41"/>
  <c r="C24" i="39"/>
  <c r="F29" i="41"/>
  <c r="G26" i="39"/>
  <c r="F75" i="41"/>
  <c r="F72" i="41"/>
  <c r="G28" i="39"/>
  <c r="G29" i="39"/>
  <c r="B22" i="68"/>
  <c r="C14" i="39"/>
  <c r="F61" i="41"/>
  <c r="F94" i="41"/>
  <c r="F12" i="41"/>
  <c r="H27" i="67" l="1"/>
  <c r="H31" i="67"/>
  <c r="D25" i="67"/>
  <c r="J66" i="67"/>
  <c r="J70" i="67"/>
  <c r="D29" i="67"/>
  <c r="D27" i="67"/>
  <c r="D31" i="67"/>
  <c r="F23" i="67"/>
  <c r="H23" i="67"/>
  <c r="E14" i="67"/>
  <c r="G14" i="67" s="1"/>
  <c r="J14" i="67" s="1"/>
  <c r="D15" i="67"/>
  <c r="J15" i="67" s="1"/>
  <c r="G18" i="67" s="1"/>
  <c r="G10" i="68"/>
  <c r="G7" i="68" s="1"/>
  <c r="N271" i="67"/>
  <c r="J271" i="67" s="1"/>
  <c r="J275" i="67" s="1"/>
  <c r="N261" i="67"/>
  <c r="J261" i="67" s="1"/>
  <c r="N260" i="67"/>
  <c r="J260" i="67" s="1"/>
  <c r="N267" i="67"/>
  <c r="J267" i="67" s="1"/>
  <c r="N266" i="67"/>
  <c r="J266" i="67" s="1"/>
  <c r="N249" i="67"/>
  <c r="J249" i="67" s="1"/>
  <c r="G11" i="68"/>
  <c r="N248" i="67"/>
  <c r="J248" i="67" s="1"/>
  <c r="G6" i="68"/>
  <c r="N247" i="67"/>
  <c r="J247" i="67" s="1"/>
  <c r="N243" i="67"/>
  <c r="J243" i="67" s="1"/>
  <c r="G18" i="68"/>
  <c r="N242" i="67"/>
  <c r="J242" i="67" s="1"/>
  <c r="D175" i="67"/>
  <c r="J24" i="67"/>
  <c r="J194" i="67" s="1"/>
  <c r="D199" i="67" s="1"/>
  <c r="D164" i="67"/>
  <c r="E163" i="67"/>
  <c r="G175" i="67"/>
  <c r="E157" i="67"/>
  <c r="J157" i="67" s="1"/>
  <c r="F27" i="67"/>
  <c r="B16" i="68"/>
  <c r="N11" i="67"/>
  <c r="N68" i="67" s="1"/>
  <c r="N13" i="67"/>
  <c r="F31" i="67"/>
  <c r="D6" i="69"/>
  <c r="D7" i="69" s="1"/>
  <c r="D10" i="69" s="1"/>
  <c r="N92" i="67" s="1"/>
  <c r="D93" i="67" s="1"/>
  <c r="J257" i="67"/>
  <c r="D53" i="67"/>
  <c r="J215" i="67"/>
  <c r="E17" i="67"/>
  <c r="D16" i="67"/>
  <c r="D13" i="67"/>
  <c r="E13" i="67"/>
  <c r="D17" i="67"/>
  <c r="G17" i="67" s="1"/>
  <c r="J17" i="67" s="1"/>
  <c r="J206" i="67"/>
  <c r="J195" i="67"/>
  <c r="G23" i="67"/>
  <c r="J152" i="67"/>
  <c r="E149" i="67"/>
  <c r="F144" i="67"/>
  <c r="F141" i="67"/>
  <c r="N100" i="67"/>
  <c r="J6" i="67"/>
  <c r="J10" i="67" s="1"/>
  <c r="N101" i="67"/>
  <c r="J8" i="67"/>
  <c r="E16" i="67"/>
  <c r="E31" i="67"/>
  <c r="E27" i="67"/>
  <c r="G31" i="67"/>
  <c r="G27" i="67"/>
  <c r="I31" i="67"/>
  <c r="I27" i="67"/>
  <c r="E23" i="67"/>
  <c r="I23" i="67"/>
  <c r="N63" i="67"/>
  <c r="J63" i="67" s="1"/>
  <c r="J229" i="67" s="1"/>
  <c r="N95" i="67"/>
  <c r="J131" i="67" s="1"/>
  <c r="J99" i="67"/>
  <c r="E109" i="67" s="1"/>
  <c r="N102" i="67"/>
  <c r="J236" i="67"/>
  <c r="N162" i="67"/>
  <c r="D158" i="67" s="1"/>
  <c r="J158" i="67" s="1"/>
  <c r="J28" i="67"/>
  <c r="D176" i="67"/>
  <c r="J176" i="67" s="1"/>
  <c r="D193" i="67"/>
  <c r="J193" i="67" s="1"/>
  <c r="E199" i="67" s="1"/>
  <c r="D182" i="67"/>
  <c r="E181" i="67"/>
  <c r="C27" i="39"/>
  <c r="G17" i="39"/>
  <c r="C17" i="39"/>
  <c r="G27" i="39"/>
  <c r="D49" i="41"/>
  <c r="J250" i="67"/>
  <c r="C25" i="39"/>
  <c r="B7" i="68"/>
  <c r="J268" i="67"/>
  <c r="J244" i="67"/>
  <c r="B5" i="68"/>
  <c r="B8" i="68"/>
  <c r="F49" i="41"/>
  <c r="J262" i="67"/>
  <c r="B6" i="68"/>
  <c r="J72" i="67" l="1"/>
  <c r="J73" i="67" s="1"/>
  <c r="J228" i="67" s="1"/>
  <c r="J285" i="67" s="1"/>
  <c r="G13" i="67"/>
  <c r="J13" i="67" s="1"/>
  <c r="D18" i="67" s="1"/>
  <c r="E25" i="67"/>
  <c r="J23" i="67"/>
  <c r="J197" i="67" s="1"/>
  <c r="G199" i="67" s="1"/>
  <c r="J11" i="67"/>
  <c r="B12" i="68"/>
  <c r="B11" i="68"/>
  <c r="B10" i="68"/>
  <c r="I25" i="67"/>
  <c r="F25" i="67"/>
  <c r="G25" i="67"/>
  <c r="B27" i="68"/>
  <c r="B28" i="68" s="1"/>
  <c r="G20" i="68" s="1"/>
  <c r="B13" i="68" s="1"/>
  <c r="J175" i="67"/>
  <c r="N50" i="67" s="1"/>
  <c r="J50" i="67" s="1"/>
  <c r="F51" i="67" s="1"/>
  <c r="J263" i="67"/>
  <c r="J269" i="67"/>
  <c r="J251" i="67"/>
  <c r="J245" i="67"/>
  <c r="H25" i="67"/>
  <c r="J227" i="67"/>
  <c r="J288" i="67" s="1"/>
  <c r="G16" i="67"/>
  <c r="J16" i="67" s="1"/>
  <c r="D9" i="69"/>
  <c r="D12" i="69" s="1"/>
  <c r="N96" i="67" s="1"/>
  <c r="J120" i="67" s="1"/>
  <c r="J122" i="67" s="1"/>
  <c r="F124" i="67" s="1"/>
  <c r="D8" i="69"/>
  <c r="D11" i="69" s="1"/>
  <c r="F181" i="67"/>
  <c r="J181" i="67" s="1"/>
  <c r="G182" i="67" s="1"/>
  <c r="F179" i="67"/>
  <c r="H29" i="67"/>
  <c r="F29" i="67"/>
  <c r="J27" i="67"/>
  <c r="J31" i="67"/>
  <c r="F163" i="67"/>
  <c r="J163" i="67" s="1"/>
  <c r="G164" i="67" s="1"/>
  <c r="F161" i="67"/>
  <c r="D144" i="67"/>
  <c r="J144" i="67" s="1"/>
  <c r="J224" i="67" s="1"/>
  <c r="J133" i="67"/>
  <c r="E135" i="67" s="1"/>
  <c r="I29" i="67"/>
  <c r="G29" i="67"/>
  <c r="E29" i="67"/>
  <c r="J9" i="67"/>
  <c r="H18" i="67"/>
  <c r="F18" i="67"/>
  <c r="J151" i="67" l="1"/>
  <c r="J153" i="67" s="1"/>
  <c r="J166" i="67" s="1"/>
  <c r="E93" i="67"/>
  <c r="J93" i="67" s="1"/>
  <c r="J95" i="67" s="1"/>
  <c r="D109" i="67" s="1"/>
  <c r="J75" i="67"/>
  <c r="J76" i="67" s="1"/>
  <c r="J77" i="67" s="1"/>
  <c r="J85" i="67" s="1"/>
  <c r="J87" i="67" s="1"/>
  <c r="J207" i="67"/>
  <c r="D14" i="69"/>
  <c r="N97" i="67" s="1"/>
  <c r="J105" i="67" s="1"/>
  <c r="J107" i="67" s="1"/>
  <c r="G109" i="67" s="1"/>
  <c r="N94" i="67"/>
  <c r="J101" i="67" s="1"/>
  <c r="B14" i="68"/>
  <c r="B15" i="68" s="1"/>
  <c r="B18" i="68" s="1"/>
  <c r="J25" i="67"/>
  <c r="J196" i="67" s="1"/>
  <c r="F199" i="67" s="1"/>
  <c r="J199" i="67" s="1"/>
  <c r="N56" i="67" s="1"/>
  <c r="J56" i="67" s="1"/>
  <c r="G51" i="67"/>
  <c r="N36" i="67"/>
  <c r="J36" i="67" s="1"/>
  <c r="F37" i="67" s="1"/>
  <c r="J277" i="67"/>
  <c r="J231" i="67" s="1"/>
  <c r="I51" i="67"/>
  <c r="H51" i="67"/>
  <c r="E51" i="67"/>
  <c r="J29" i="67"/>
  <c r="J115" i="67"/>
  <c r="J184" i="67"/>
  <c r="E18" i="67"/>
  <c r="J18" i="67" s="1"/>
  <c r="J216" i="67" s="1"/>
  <c r="J300" i="67" s="1"/>
  <c r="J80" i="67" l="1"/>
  <c r="J82" i="67" s="1"/>
  <c r="J89" i="67" s="1"/>
  <c r="J286" i="67" s="1"/>
  <c r="J129" i="67"/>
  <c r="D141" i="67"/>
  <c r="J141" i="67" s="1"/>
  <c r="J103" i="67"/>
  <c r="F109" i="67" s="1"/>
  <c r="J109" i="67" s="1"/>
  <c r="J292" i="67"/>
  <c r="J293" i="67" s="1"/>
  <c r="J295" i="67" s="1"/>
  <c r="E37" i="67"/>
  <c r="I37" i="67"/>
  <c r="G37" i="67"/>
  <c r="H37" i="67"/>
  <c r="J51" i="67"/>
  <c r="J210" i="67"/>
  <c r="J219" i="67" s="1"/>
  <c r="N44" i="67"/>
  <c r="J44" i="67" s="1"/>
  <c r="I45" i="67" s="1"/>
  <c r="N38" i="67"/>
  <c r="J38" i="67" s="1"/>
  <c r="H39" i="67" s="1"/>
  <c r="N52" i="67"/>
  <c r="J52" i="67" s="1"/>
  <c r="I53" i="67" s="1"/>
  <c r="D124" i="67"/>
  <c r="J124" i="67"/>
  <c r="E57" i="67"/>
  <c r="D57" i="67"/>
  <c r="G45" i="67" l="1"/>
  <c r="F39" i="67"/>
  <c r="D110" i="67"/>
  <c r="D149" i="67"/>
  <c r="J149" i="67" s="1"/>
  <c r="J110" i="67"/>
  <c r="F182" i="67" s="1"/>
  <c r="D135" i="67"/>
  <c r="J135" i="67"/>
  <c r="J223" i="67"/>
  <c r="J146" i="67"/>
  <c r="J37" i="67"/>
  <c r="J208" i="67" s="1"/>
  <c r="I39" i="67"/>
  <c r="G39" i="67"/>
  <c r="G53" i="67"/>
  <c r="F45" i="67"/>
  <c r="F53" i="67"/>
  <c r="H45" i="67"/>
  <c r="E53" i="67"/>
  <c r="E45" i="67"/>
  <c r="E39" i="67"/>
  <c r="H53" i="67"/>
  <c r="J57" i="67"/>
  <c r="J213" i="67" s="1"/>
  <c r="J283" i="67" s="1"/>
  <c r="J177" i="67"/>
  <c r="J159" i="67"/>
  <c r="J45" i="67" l="1"/>
  <c r="J211" i="67" s="1"/>
  <c r="J148" i="67"/>
  <c r="D179" i="67"/>
  <c r="J179" i="67" s="1"/>
  <c r="J180" i="67" s="1"/>
  <c r="E182" i="67" s="1"/>
  <c r="J182" i="67" s="1"/>
  <c r="J183" i="67" s="1"/>
  <c r="D161" i="67"/>
  <c r="J161" i="67" s="1"/>
  <c r="J162" i="67" s="1"/>
  <c r="E164" i="67" s="1"/>
  <c r="F164" i="67"/>
  <c r="J160" i="67"/>
  <c r="J178" i="67"/>
  <c r="J39" i="67"/>
  <c r="J212" i="67" s="1"/>
  <c r="J53" i="67"/>
  <c r="J282" i="67"/>
  <c r="J164" i="67" l="1"/>
  <c r="J165" i="67" s="1"/>
  <c r="J167" i="67" s="1"/>
  <c r="J169" i="67" s="1"/>
  <c r="D171" i="67" s="1"/>
  <c r="J221" i="67"/>
  <c r="J298" i="67" s="1"/>
  <c r="J185" i="67"/>
  <c r="J168" i="67" l="1"/>
  <c r="J170" i="67" s="1"/>
  <c r="J226" i="67"/>
  <c r="J187" i="67"/>
  <c r="D189" i="67" s="1"/>
  <c r="J186" i="67"/>
  <c r="E171" i="67" l="1"/>
  <c r="J171" i="67" s="1"/>
  <c r="E189" i="67"/>
  <c r="J189" i="67" s="1"/>
  <c r="J188" i="67"/>
  <c r="J222" i="67" s="1"/>
  <c r="J281" i="67" s="1"/>
  <c r="J284" i="67"/>
  <c r="J299" i="67"/>
  <c r="J301" i="67" s="1"/>
  <c r="J289" i="67" l="1"/>
  <c r="O289" i="67" s="1"/>
  <c r="J304" i="67" l="1"/>
  <c r="AR22" i="70" s="1"/>
  <c r="AR23" i="70" s="1"/>
  <c r="AP23" i="70" l="1"/>
  <c r="AQ23" i="70"/>
  <c r="AM22" i="70"/>
  <c r="AM23" i="70" s="1"/>
  <c r="J307" i="67"/>
  <c r="AO22" i="70"/>
  <c r="B20" i="68"/>
  <c r="O304" i="67"/>
  <c r="P304" i="67" s="1"/>
  <c r="O306" i="67" s="1"/>
  <c r="J306" i="67" s="1"/>
  <c r="AN22" i="70" s="1"/>
  <c r="AN23" i="70" s="1"/>
  <c r="B19" i="68"/>
  <c r="AO23" i="70" l="1"/>
</calcChain>
</file>

<file path=xl/comments1.xml><?xml version="1.0" encoding="utf-8"?>
<comments xmlns="http://schemas.openxmlformats.org/spreadsheetml/2006/main">
  <authors>
    <author>Sangeet Sarkar</author>
  </authors>
  <commentList>
    <comment ref="B21" authorId="0" shapeId="0">
      <text>
        <r>
          <rPr>
            <b/>
            <sz val="9"/>
            <color indexed="81"/>
            <rFont val="Tahoma"/>
            <family val="2"/>
          </rPr>
          <t>Sangeet Sarkar:</t>
        </r>
        <r>
          <rPr>
            <sz val="9"/>
            <color indexed="81"/>
            <rFont val="Tahoma"/>
            <family val="2"/>
          </rPr>
          <t xml:space="preserve">
Manual Input from GTCHR summary sheet </t>
        </r>
      </text>
    </comment>
  </commentList>
</comments>
</file>

<file path=xl/sharedStrings.xml><?xml version="1.0" encoding="utf-8"?>
<sst xmlns="http://schemas.openxmlformats.org/spreadsheetml/2006/main" count="5572" uniqueCount="2710">
  <si>
    <t>Unit</t>
  </si>
  <si>
    <t>%</t>
  </si>
  <si>
    <t>X Steam Tables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</si>
  <si>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</si>
  <si>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</si>
  <si>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</si>
  <si>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The steam tables are free and provided as is. We take no responsibilities for any errors in the code or damage thereby.</t>
  </si>
  <si>
    <t>www.x-eng.com</t>
  </si>
  <si>
    <t>OBS: This workbook uses macros. Set security options in Tools:Macro:Security… to enable macros.</t>
  </si>
  <si>
    <t>Saturation properties given temperature</t>
  </si>
  <si>
    <t>Saturation properties given pressure</t>
  </si>
  <si>
    <t>Temperature</t>
  </si>
  <si>
    <t>°C</t>
  </si>
  <si>
    <t>Pressure</t>
  </si>
  <si>
    <t>bar a</t>
  </si>
  <si>
    <t>Saturation pressure</t>
  </si>
  <si>
    <t>Saturation temperature</t>
  </si>
  <si>
    <t>Liquid</t>
  </si>
  <si>
    <t>Enthalpy</t>
  </si>
  <si>
    <t>kJ/kg</t>
  </si>
  <si>
    <t>Density</t>
  </si>
  <si>
    <t>kg/m3</t>
  </si>
  <si>
    <t>Entropy</t>
  </si>
  <si>
    <t>kJ/kgK</t>
  </si>
  <si>
    <t>Vapour</t>
  </si>
  <si>
    <t>Vapour enthalpy</t>
  </si>
  <si>
    <t>Vapour density</t>
  </si>
  <si>
    <t>Vapour Entropy</t>
  </si>
  <si>
    <t>vapour Entropy</t>
  </si>
  <si>
    <t>Evaporation energy</t>
  </si>
  <si>
    <t>Properties given pressure and temperature</t>
  </si>
  <si>
    <t>Properties given pressure and enthalpy</t>
  </si>
  <si>
    <t>Vapour fraction</t>
  </si>
  <si>
    <t>IF97 Region</t>
  </si>
  <si>
    <t>Phase</t>
  </si>
  <si>
    <t xml:space="preserve">Isobaric heat capacity </t>
  </si>
  <si>
    <t>Speed of sound</t>
  </si>
  <si>
    <t>m/s</t>
  </si>
  <si>
    <t>v2.6</t>
  </si>
  <si>
    <t>http://www.x-eng.com</t>
  </si>
  <si>
    <t xml:space="preserve">Steam tables by Magnus Holmgren according to IAPWS IF-97 </t>
  </si>
  <si>
    <t>The excel scripts are stored inside this workbook. (No extra files are needed. Start from a copy of this workbook. This page can be removed)</t>
  </si>
  <si>
    <t>For error-reporting, feedback, other units etc. contact:</t>
  </si>
  <si>
    <t>magnus@x-eng.com</t>
  </si>
  <si>
    <t xml:space="preserve"> Tsat_p</t>
  </si>
  <si>
    <t>bar</t>
  </si>
  <si>
    <t xml:space="preserve"> T_ph</t>
  </si>
  <si>
    <t>Temperture as a function of pressure and enthalpy</t>
  </si>
  <si>
    <t xml:space="preserve"> T_ps</t>
  </si>
  <si>
    <t>kJ/(kg K)</t>
  </si>
  <si>
    <t>Temperture as a function of pressure and entropy</t>
  </si>
  <si>
    <t xml:space="preserve"> T_hs</t>
  </si>
  <si>
    <t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</si>
  <si>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</si>
  <si>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</si>
  <si>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</si>
  <si>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</si>
  <si>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>Pressure as a function of h and rho (density). Very unaccurate for solid water region since it's almost incompressible!</t>
  </si>
  <si>
    <t xml:space="preserve"> hV_p</t>
  </si>
  <si>
    <t>Saturated vapour enthalpy</t>
  </si>
  <si>
    <t xml:space="preserve"> hL_p</t>
  </si>
  <si>
    <t>Saturated liquid enthalpy</t>
  </si>
  <si>
    <t xml:space="preserve"> hV_T</t>
  </si>
  <si>
    <t xml:space="preserve"> hL_T</t>
  </si>
  <si>
    <t xml:space="preserve"> h_pT</t>
  </si>
  <si>
    <t>Entalpy as a function of pressure and temperature.</t>
  </si>
  <si>
    <t xml:space="preserve"> h_ps</t>
  </si>
  <si>
    <t>Entalpy as a function of pressure and entropy.</t>
  </si>
  <si>
    <t xml:space="preserve"> h_px</t>
  </si>
  <si>
    <t>Entalpy as a function of pressure and vapour fraction</t>
  </si>
  <si>
    <t xml:space="preserve"> h_Tx</t>
  </si>
  <si>
    <t>Entalpy as a function of temperature and vapour fraction</t>
  </si>
  <si>
    <t xml:space="preserve"> h_prho</t>
  </si>
  <si>
    <t>Entalpy as a function of pressure and density. Observe for low temperatures (liquid) this equation has 2 solutions. (Not valid!!)</t>
  </si>
  <si>
    <t>Specific volume</t>
  </si>
  <si>
    <t xml:space="preserve"> vV_p</t>
  </si>
  <si>
    <t>m3/kg</t>
  </si>
  <si>
    <t>Saturated vapour volume</t>
  </si>
  <si>
    <t xml:space="preserve"> vL_p</t>
  </si>
  <si>
    <t>Saturated liquid volume</t>
  </si>
  <si>
    <t xml:space="preserve"> vV_T</t>
  </si>
  <si>
    <t xml:space="preserve"> vL_T</t>
  </si>
  <si>
    <t xml:space="preserve"> v_pT</t>
  </si>
  <si>
    <t>Specific volume as a function of pressure and temperature.</t>
  </si>
  <si>
    <t xml:space="preserve"> v_ph</t>
  </si>
  <si>
    <t>Specific volume as a function of pressure and enthalpy</t>
  </si>
  <si>
    <t xml:space="preserve"> v_ps</t>
  </si>
  <si>
    <t>Specific volume as a function of pressure and entropy.</t>
  </si>
  <si>
    <t xml:space="preserve"> rhoV_p</t>
  </si>
  <si>
    <t>Saturated vapour density</t>
  </si>
  <si>
    <t xml:space="preserve"> rhoL_p</t>
  </si>
  <si>
    <t>Saturated liquid density</t>
  </si>
  <si>
    <t xml:space="preserve"> rhoV_T</t>
  </si>
  <si>
    <t xml:space="preserve"> rhoL_T</t>
  </si>
  <si>
    <t xml:space="preserve"> rho_pT</t>
  </si>
  <si>
    <t>Density as a function of pressure and temperature.</t>
  </si>
  <si>
    <t xml:space="preserve"> rho_ph</t>
  </si>
  <si>
    <t>Density as a function of pressure and enthalpy</t>
  </si>
  <si>
    <t xml:space="preserve"> rho_ps</t>
  </si>
  <si>
    <t>Density as a function of pressure and entropy.</t>
  </si>
  <si>
    <t xml:space="preserve">Specific entropy </t>
  </si>
  <si>
    <t xml:space="preserve"> sV_p</t>
  </si>
  <si>
    <t>Saturated vapour entropy</t>
  </si>
  <si>
    <t xml:space="preserve"> sL_p</t>
  </si>
  <si>
    <t>Saturated liquid entropy</t>
  </si>
  <si>
    <t xml:space="preserve"> sV_T</t>
  </si>
  <si>
    <t xml:space="preserve"> sL_T</t>
  </si>
  <si>
    <t xml:space="preserve"> s_pT</t>
  </si>
  <si>
    <t>Specific entropy as a function of pressure and temperature (Returns saturated vapour entalpy if mixture.)</t>
  </si>
  <si>
    <t xml:space="preserve"> s_ph</t>
  </si>
  <si>
    <t>Specific entropy as a function of pressure and enthalpy</t>
  </si>
  <si>
    <t xml:space="preserve">Specific internal energy </t>
  </si>
  <si>
    <t xml:space="preserve"> uV_p</t>
  </si>
  <si>
    <t>Saturated vapour internal energy</t>
  </si>
  <si>
    <t xml:space="preserve"> uL_p</t>
  </si>
  <si>
    <t>Saturated liquid internal energy</t>
  </si>
  <si>
    <t xml:space="preserve"> uV_T</t>
  </si>
  <si>
    <t xml:space="preserve"> uL_T</t>
  </si>
  <si>
    <t xml:space="preserve"> u_pT</t>
  </si>
  <si>
    <t>Specific internal energy as a function of pressure and temperature.</t>
  </si>
  <si>
    <t xml:space="preserve"> u_ph</t>
  </si>
  <si>
    <t>Specific internal energy as a function of pressure and enthalpy</t>
  </si>
  <si>
    <t xml:space="preserve"> u_ps</t>
  </si>
  <si>
    <t>Specific internal energy as a function of pressure and entropy.</t>
  </si>
  <si>
    <t xml:space="preserve">Specific isobaric heat capacity </t>
  </si>
  <si>
    <t xml:space="preserve"> CpV_p</t>
  </si>
  <si>
    <t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</si>
  <si>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</si>
  <si>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</si>
  <si>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</si>
  <si>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</si>
  <si>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</si>
  <si>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</si>
  <si>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>Specific isobaric heat capacity as a function of pressure and temperature.</t>
  </si>
  <si>
    <t xml:space="preserve"> Cp_ph</t>
  </si>
  <si>
    <t>Specific isobaric heat capacity as a function of pressure and enthalpy</t>
  </si>
  <si>
    <t xml:space="preserve"> Cp_ps</t>
  </si>
  <si>
    <t>Specific isobaric heat capacity as a function of pressure and entropy.</t>
  </si>
  <si>
    <t xml:space="preserve">Specific isochoric heat capacity </t>
  </si>
  <si>
    <t xml:space="preserve"> CvV_p</t>
  </si>
  <si>
    <t>Saturated vapour isochoric heat capacity</t>
  </si>
  <si>
    <t xml:space="preserve"> CvL_p</t>
  </si>
  <si>
    <t>Saturated liquid isochoric heat capacity</t>
  </si>
  <si>
    <t xml:space="preserve"> CvV_T</t>
  </si>
  <si>
    <t xml:space="preserve"> CvL_T</t>
  </si>
  <si>
    <t xml:space="preserve"> Cv_pT</t>
  </si>
  <si>
    <t>Specific isochoric heat capacity as a function of pressure and temperature.</t>
  </si>
  <si>
    <t xml:space="preserve"> Cv_ph</t>
  </si>
  <si>
    <t>Specific isochoric heat capacity as a function of pressure and enthalpy</t>
  </si>
  <si>
    <t xml:space="preserve"> Cv_ps</t>
  </si>
  <si>
    <t>Specific isochoric heat capacity as a function of pressure and entropy.</t>
  </si>
  <si>
    <t xml:space="preserve">Speed of sound </t>
  </si>
  <si>
    <t xml:space="preserve"> wV_p</t>
  </si>
  <si>
    <t>Saturated vapour speed of sound</t>
  </si>
  <si>
    <t xml:space="preserve"> wL_p</t>
  </si>
  <si>
    <t>Saturated liquid speed of sound</t>
  </si>
  <si>
    <t xml:space="preserve"> wV_T</t>
  </si>
  <si>
    <t xml:space="preserve"> wL_T</t>
  </si>
  <si>
    <t xml:space="preserve"> w_pT</t>
  </si>
  <si>
    <t>Speed of sound as a function of pressure and temperature.</t>
  </si>
  <si>
    <t xml:space="preserve"> w_ph</t>
  </si>
  <si>
    <t>Speed of sound as a function of pressure and enthalpy</t>
  </si>
  <si>
    <t xml:space="preserve"> w_ps</t>
  </si>
  <si>
    <t>Speed of sound as a function of pressure and entropy.</t>
  </si>
  <si>
    <t>Dynamic Viscosity</t>
  </si>
  <si>
    <t>Viscosity is not part of IAPWS Steam IF97. Equations from "Revised Release on the IAPWS Formulation 1985 for the Viscosity of Ordinary Water Substance", 2003 are used.</t>
  </si>
  <si>
    <t>Viscosity in the mixed region (4) is interpolated according to the density. This is not true since it will be two fases.</t>
  </si>
  <si>
    <t xml:space="preserve"> my_pT</t>
  </si>
  <si>
    <t>Pa s</t>
  </si>
  <si>
    <t>Viscosity as a function of pressure and temperature.</t>
  </si>
  <si>
    <t xml:space="preserve"> my_ph</t>
  </si>
  <si>
    <t>Viscosity as a function of pressure and enthalpy</t>
  </si>
  <si>
    <t xml:space="preserve"> my_ps</t>
  </si>
  <si>
    <t>Viscosity as a function of pressure and entropy.</t>
  </si>
  <si>
    <t>Prandtl</t>
  </si>
  <si>
    <t>Calcualted as Cp*my/tc</t>
  </si>
  <si>
    <t xml:space="preserve"> pr_pT</t>
  </si>
  <si>
    <t>-</t>
  </si>
  <si>
    <t xml:space="preserve"> pr_ph</t>
  </si>
  <si>
    <t>Thermal Conductivity</t>
  </si>
  <si>
    <t>Revised release on the IAPS Formulation 1985 for the Thermal Conductivity of ordinary water substance (IAPWS 1998)</t>
  </si>
  <si>
    <t xml:space="preserve"> tcL_p</t>
  </si>
  <si>
    <t>W/(m K)</t>
  </si>
  <si>
    <t>Saturated vapour thermal conductivity</t>
  </si>
  <si>
    <t xml:space="preserve"> tcV_p</t>
  </si>
  <si>
    <t>Saturated liquid thermal conductivity</t>
  </si>
  <si>
    <t xml:space="preserve"> tcL_T</t>
  </si>
  <si>
    <t xml:space="preserve"> tcV_T</t>
  </si>
  <si>
    <t xml:space="preserve"> tc_pT</t>
  </si>
  <si>
    <t>Thermal conductivity as a function of pressure and temperature.</t>
  </si>
  <si>
    <t xml:space="preserve"> tc_ph</t>
  </si>
  <si>
    <t>Thermal conductivity as a function of pressure and enthalpy</t>
  </si>
  <si>
    <t xml:space="preserve"> tc_hs</t>
  </si>
  <si>
    <t>Thermal conductivity as a function of enthalpy and entropy</t>
  </si>
  <si>
    <t>Surface Tension</t>
  </si>
  <si>
    <t>IAPWS Release on Surface Tension of Ordinary Water Substance, September 1994</t>
  </si>
  <si>
    <t xml:space="preserve"> st_T</t>
  </si>
  <si>
    <t>N/m</t>
  </si>
  <si>
    <t>Surface tension for two phase water/steam as a function of T</t>
  </si>
  <si>
    <t xml:space="preserve"> st_p</t>
  </si>
  <si>
    <t xml:space="preserve"> x_ph</t>
  </si>
  <si>
    <t>Vapour fraction as a function of pressure and enthalpy</t>
  </si>
  <si>
    <t xml:space="preserve"> x_ps</t>
  </si>
  <si>
    <t>Vapour fraction as a function of pressure and entropy.</t>
  </si>
  <si>
    <t>Vapour Volume Fraction</t>
  </si>
  <si>
    <t>Observe that vapour volume fraction is very sensitive. Vapour volume is about 1000 times greater than liquid volume and therfore vapour volume fraction</t>
  </si>
  <si>
    <t>gets close to the accurancy of steam IF-97</t>
  </si>
  <si>
    <t xml:space="preserve"> vx_ph</t>
  </si>
  <si>
    <t>Vapour volume fraction as a function of pressure and enthalpy</t>
  </si>
  <si>
    <t xml:space="preserve"> vx_ps</t>
  </si>
  <si>
    <t>Vapour volume fraction as a function of pressure and entropy.</t>
  </si>
  <si>
    <t>Version history</t>
  </si>
  <si>
    <t>News in V2.6</t>
  </si>
  <si>
    <t>* Error in valid region for function tc_ptrho</t>
  </si>
  <si>
    <t>* Error in function h3_pt for temperatures near the saturation point.</t>
  </si>
  <si>
    <t>News in V2.5</t>
  </si>
  <si>
    <t>* DLL distrubution for use in other applications</t>
  </si>
  <si>
    <t>* Freebasic translation</t>
  </si>
  <si>
    <t>* Fixed small error in Cv Region 5 p&gt;1000bar</t>
  </si>
  <si>
    <t>News in V2.4a</t>
  </si>
  <si>
    <t>* ToSIUnit for h_ps region 4. (No effect in SI unit version).</t>
  </si>
  <si>
    <t>News in V2.4</t>
  </si>
  <si>
    <t>* Functions by p,rho inplemented in matlab also.</t>
  </si>
  <si>
    <t>* Many missing ; in matlab causing printouts detected.</t>
  </si>
  <si>
    <t>* OpenOffice version introduced. (Fixed calculation differences in open office and excel)</t>
  </si>
  <si>
    <t>* Matlab error giving varaible undefined in some backwards solutions fixed.</t>
  </si>
  <si>
    <t>News in V2.3</t>
  </si>
  <si>
    <t>* Option Explicit, gives more efficient calculations.</t>
  </si>
  <si>
    <t>* Extensive testing</t>
  </si>
  <si>
    <t>* my_ph not defined in region 4.</t>
  </si>
  <si>
    <t>* Problems at region border for h4V_p to adress solver problems at the exact border.</t>
  </si>
  <si>
    <t>* Problem at fast border check in region_ph fixed.</t>
  </si>
  <si>
    <t>News in V2.2</t>
  </si>
  <si>
    <t>* Fixed error in Cp_ph</t>
  </si>
  <si>
    <t>* Function p_hrho added. (Very good for calcualting pressure when heating a volume with water/steam mixture.)</t>
  </si>
  <si>
    <t>* Fixed error in T_hs return no value for vet region bellow the water saturation line.</t>
  </si>
  <si>
    <t>* Prandtl number added</t>
  </si>
  <si>
    <t>News in V2.1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</si>
  <si>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</si>
  <si>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</si>
  <si>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</si>
  <si>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</si>
  <si>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* Calling functions of h and s added.</t>
  </si>
  <si>
    <t>* Thermal conductivity, Surface tension added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</si>
  <si>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</si>
  <si>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</si>
  <si>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</si>
  <si>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Extraction Steam pressure</t>
  </si>
  <si>
    <t>Load</t>
  </si>
  <si>
    <t xml:space="preserve">RH SPRAY WATER PRESSURE   </t>
  </si>
  <si>
    <t xml:space="preserve">TEMP AT SH SPRAY STAGE-1   </t>
  </si>
  <si>
    <t xml:space="preserve">
Unit Performance Tests - Test Inputs</t>
  </si>
  <si>
    <t>Proximate Analysis of as fired coal</t>
  </si>
  <si>
    <t>Units</t>
  </si>
  <si>
    <t>Value</t>
  </si>
  <si>
    <t>TOTAL MOISTURE (M)%</t>
  </si>
  <si>
    <t>ASH (A) %</t>
  </si>
  <si>
    <t>VOLATILE MATTER (VM) %</t>
  </si>
  <si>
    <t>FIXED CARBON (FC) %</t>
  </si>
  <si>
    <t>GCV</t>
  </si>
  <si>
    <t>Kcal/Kg</t>
  </si>
  <si>
    <t>UBC in BA</t>
  </si>
  <si>
    <t>Distribution of ash in BA</t>
  </si>
  <si>
    <t>UBC in FA</t>
  </si>
  <si>
    <t>Distribution of ash in FA</t>
  </si>
  <si>
    <t>Bottom Ash Temperature</t>
  </si>
  <si>
    <t>deg.</t>
  </si>
  <si>
    <t>Ambient Temperature</t>
  </si>
  <si>
    <t>deg C</t>
  </si>
  <si>
    <t>Fuel Mass Flow Rate</t>
  </si>
  <si>
    <t>TPH</t>
  </si>
  <si>
    <t>1TOTAL_COL_FL.OUT.AVERAGE</t>
  </si>
  <si>
    <t>Total Coal Flow</t>
  </si>
  <si>
    <t>Reference Air Temperature</t>
  </si>
  <si>
    <t>9AUX_LOAD.OUT.AVERAGE</t>
  </si>
  <si>
    <t>UNIT LOAD</t>
  </si>
  <si>
    <t>Unit Average Load</t>
  </si>
  <si>
    <t>MW</t>
  </si>
  <si>
    <t>1HNA11CT001_XQ03.OUT.AVERAGE</t>
  </si>
  <si>
    <t>Avg. Flue Gas Temp - AH In -L</t>
  </si>
  <si>
    <t>Boiler Aux.Power Consumption *(list attached)</t>
  </si>
  <si>
    <t>KW</t>
  </si>
  <si>
    <t>1HNA12CT001_XQ03.OUT.AVERAGE</t>
  </si>
  <si>
    <t>Avg. Flue Gas Temp - AH In -R</t>
  </si>
  <si>
    <t>Average Mill Inlet Temperature</t>
  </si>
  <si>
    <t>1HFE30CT001_XQ03.OUT.AVERAGE</t>
  </si>
  <si>
    <t>Avg. Primary Air to AH Temp Out-A</t>
  </si>
  <si>
    <t>Mill Reject Weight</t>
  </si>
  <si>
    <t>1HFE40CT001_XQ03.OUT.AVERAGE</t>
  </si>
  <si>
    <t>Avg. Primary Air to AH Temp Out-B</t>
  </si>
  <si>
    <t>Reject's Calorific Value</t>
  </si>
  <si>
    <t>1HHL10CT001_XQ03.OUT.AVERAGE</t>
  </si>
  <si>
    <t>Avg. Secondary Air to AH Temp Out-A</t>
  </si>
  <si>
    <t>Boiler Estimated/Expected Efficiency</t>
  </si>
  <si>
    <t>1HHL20CT001_XQ03.OUT.AVERAGE</t>
  </si>
  <si>
    <t>Avg. Secondary Air to AH Temp Out-B</t>
  </si>
  <si>
    <t xml:space="preserve">1TotalPAFlow.OUT.AVERAGE   </t>
  </si>
  <si>
    <t>Total Primary Air Flow</t>
  </si>
  <si>
    <t>Flue Gas Temperature entering APH</t>
  </si>
  <si>
    <t xml:space="preserve">1SAF_TOTAL.OUT.AVERAGE  </t>
  </si>
  <si>
    <t>Total Secondary Air Flow</t>
  </si>
  <si>
    <t>Primary Air temp. leaving APH</t>
  </si>
  <si>
    <t>1HNA11CQ001_XQ01.OUT.AVERAGE</t>
  </si>
  <si>
    <t>AH inlet O2 L/R (UCB)-L</t>
  </si>
  <si>
    <t>Secondary Air temp. leaving APH</t>
  </si>
  <si>
    <t>1HNA12CQ001_XQ01.OUT.AVERAGE</t>
  </si>
  <si>
    <t>AH inlet O2 L/R (UCB)-R</t>
  </si>
  <si>
    <t>Primary Air Flow</t>
  </si>
  <si>
    <t>1HNA20CT001_XQ02.OUT.AVERAGE</t>
  </si>
  <si>
    <t>Avg. Flue Gas Temp - AH Out-L</t>
  </si>
  <si>
    <t>Secondary Air Flow</t>
  </si>
  <si>
    <t>1HNA30CT001_XQ02.OUT.AVERAGE</t>
  </si>
  <si>
    <t>Avg. Flue Gas Temp - AH Out-R</t>
  </si>
  <si>
    <t>Oxygen at APH Inlet</t>
  </si>
  <si>
    <t>1HFE20CT018_XQ02.OUT.AVERAGE</t>
  </si>
  <si>
    <t>Avg. Primary Air to AH Temp In-B</t>
  </si>
  <si>
    <t>Flue Gas Temperature leaving APH</t>
  </si>
  <si>
    <t>1HLA10CT002_XQ02.OUT.AVERAGE</t>
  </si>
  <si>
    <t>Avg. Secondary Air to AH Temp In-A</t>
  </si>
  <si>
    <t>Primary Air temp. entering APH</t>
  </si>
  <si>
    <t>1HNA20CQ001_XQ01.OUT.AVERAGE</t>
  </si>
  <si>
    <t>Avg. Flue Gas O2 - AH Out-L</t>
  </si>
  <si>
    <t>Secondary Air temp. entering APH</t>
  </si>
  <si>
    <t>1HNA30CQ001_XQ01.OUT.AVERAGE</t>
  </si>
  <si>
    <t>Avg. Flue Gas O2 - AH Out-R</t>
  </si>
  <si>
    <t>Oxygen at APH Outlet</t>
  </si>
  <si>
    <t>1FWFlowACT.OUT.AVERAGE</t>
  </si>
  <si>
    <t>FEED FLOW</t>
  </si>
  <si>
    <t>Moisture in Air (Dry Air)</t>
  </si>
  <si>
    <t>kg/kg of air</t>
  </si>
  <si>
    <t>1HAC10CT001_XQ03.OUT.AVERAGE</t>
  </si>
  <si>
    <t>FEED WATER TEMP.(AT ECO INLET)</t>
  </si>
  <si>
    <t>Moisture in Air (Wet Air)</t>
  </si>
  <si>
    <t>1HAC10CP001_XQ01.OUT.AVERAGE</t>
  </si>
  <si>
    <t>FW PRESSURE AT ECO I/L</t>
  </si>
  <si>
    <t>1TOTALMSFLOW.OUT.AVERAGE</t>
  </si>
  <si>
    <t xml:space="preserve">Steam Flow </t>
  </si>
  <si>
    <t>Feed Water Flow</t>
  </si>
  <si>
    <t>1LBA10CT001BXQ10.OUT.AVERAGE</t>
  </si>
  <si>
    <t>MAIN STEAM TEMP. BEFORE ESV</t>
  </si>
  <si>
    <t>Feed Water Temperature</t>
  </si>
  <si>
    <t>Feed Water Pressure</t>
  </si>
  <si>
    <t>Kg/cm2</t>
  </si>
  <si>
    <t>1ThrotPrSel.OUT.AVERAGE</t>
  </si>
  <si>
    <t>MAIN STEAM PRESSURE BEFORE ESV1</t>
  </si>
  <si>
    <t>Main Steam Flow</t>
  </si>
  <si>
    <t>MAIN STEAM PRESSURE BEFORE ESV2</t>
  </si>
  <si>
    <t>Main Steam Temperature</t>
  </si>
  <si>
    <t>S/H ATTEMPERATION FLOW-L</t>
  </si>
  <si>
    <t>Main Steam Pressure</t>
  </si>
  <si>
    <t>S/H ATTEMPERATION FLOW-R</t>
  </si>
  <si>
    <t>SH Spray Flow</t>
  </si>
  <si>
    <t>1LBC12CT002_XQ03.OUT.AVERAGE</t>
  </si>
  <si>
    <t>HP TURBINE EXHAUST TEMP.</t>
  </si>
  <si>
    <t>SH Spray Temperature</t>
  </si>
  <si>
    <t>1LBC12CP001XQ01.OUT.AVERAGE</t>
  </si>
  <si>
    <t>HP TURBINE EXHAUST PRESSURE</t>
  </si>
  <si>
    <t>SH Spray Pressure</t>
  </si>
  <si>
    <t>1LBB10CT001AXQ10.OUT.AVERAGE</t>
  </si>
  <si>
    <t>hrh turbine in temp</t>
  </si>
  <si>
    <t>HRH Steam Flow</t>
  </si>
  <si>
    <t>1LBB10CT002AXQ10.OUT.AVERAGE</t>
  </si>
  <si>
    <t>HOT REHEAT TEMP.AT IV INLET-R</t>
  </si>
  <si>
    <t>HRH Steam Temperature</t>
  </si>
  <si>
    <t>1LBB10CP002XQ10.OUT.AVERAGE</t>
  </si>
  <si>
    <t>HOT REHEAT PRESSURE AT IV INLET-R</t>
  </si>
  <si>
    <t>HRH Steam Pressure</t>
  </si>
  <si>
    <t>1LBB10CP001XQ10.OUT.AVERAGE</t>
  </si>
  <si>
    <t>HOT REHEAT PRESSURE AT IV INLET-L</t>
  </si>
  <si>
    <t>CRH Steam Flow</t>
  </si>
  <si>
    <t>R/H ATTEMPERATION FLOW-L</t>
  </si>
  <si>
    <t>CRH Steam Temperature</t>
  </si>
  <si>
    <t>R/H ATTEMPERATION FLOW-R</t>
  </si>
  <si>
    <t>CRH Steam Pressure</t>
  </si>
  <si>
    <t>1MAG10CP902XQ01.out.average</t>
  </si>
  <si>
    <t>CONDENSER VACCUM</t>
  </si>
  <si>
    <t>RH Spray Flow</t>
  </si>
  <si>
    <t>1LAB50CT001_XQ02.out.average</t>
  </si>
  <si>
    <t>FW TEMP. AT HPH 5 OUTLET</t>
  </si>
  <si>
    <t>RH Spray Temperature</t>
  </si>
  <si>
    <t>1LAB50CP001_XQ01.out.average</t>
  </si>
  <si>
    <t>HPH_6 INLET PRESSURE</t>
  </si>
  <si>
    <t>RH Spray Pressure</t>
  </si>
  <si>
    <t>1LBQ60CT001_XQ03.out.average</t>
  </si>
  <si>
    <t>HPH EXT. STEAM TEMP.(HEATER END)-HPH6</t>
  </si>
  <si>
    <t>1LBQ60CP001_XQ01.out.average</t>
  </si>
  <si>
    <t>HPH EXT. STEAM PRESSURE (HEATER END)-HPH6</t>
  </si>
  <si>
    <t>1LCH20CT001_XQ02.out.average</t>
  </si>
  <si>
    <t>HPH 6 Drain Temperature</t>
  </si>
  <si>
    <t>UNIT LOAD (pg)</t>
  </si>
  <si>
    <t>1PAB11CT001_XQ02.out.average</t>
  </si>
  <si>
    <t>CONDENSER CW INLET TEMP.</t>
  </si>
  <si>
    <t>1PAB21CT001_XQ02.out.average</t>
  </si>
  <si>
    <t>1PAB11CT002_XQ02.out.average</t>
  </si>
  <si>
    <t>CONDENSER CW OUTLET TEMP.</t>
  </si>
  <si>
    <t>1PAB21CT002_XQ02.out.average</t>
  </si>
  <si>
    <t xml:space="preserve">
Unit Performance Tests - Boiler Efficiency Calculations</t>
  </si>
  <si>
    <t>Enthalpy Calculation of Coal</t>
  </si>
  <si>
    <t>1a</t>
  </si>
  <si>
    <t>Mass fraction of fixed carbon</t>
  </si>
  <si>
    <t>kg/kg of coal</t>
  </si>
  <si>
    <t>Ambient Temperature (Deg)</t>
  </si>
  <si>
    <t>1b</t>
  </si>
  <si>
    <t>Mass fraction of ash</t>
  </si>
  <si>
    <t>Gross Calorific Value of coal (AF)</t>
  </si>
  <si>
    <t>1c</t>
  </si>
  <si>
    <t>Mass fraction of water (moisture)</t>
  </si>
  <si>
    <t>Fixed Carbon (AF)</t>
  </si>
  <si>
    <t>1d</t>
  </si>
  <si>
    <t>Mass fraction of volatile matter (AF)</t>
  </si>
  <si>
    <t>Ash (AF)</t>
  </si>
  <si>
    <t>1e</t>
  </si>
  <si>
    <t>Mass fraction of volatile matter Dry &amp; Ash free basis</t>
  </si>
  <si>
    <t>Total Moisture</t>
  </si>
  <si>
    <t>1f</t>
  </si>
  <si>
    <t>Mass fraction of Secondary Volatile Matter</t>
  </si>
  <si>
    <t>VM (AF)</t>
  </si>
  <si>
    <t>1g</t>
  </si>
  <si>
    <t>Mass fraction of Primary Volatile Matter</t>
  </si>
  <si>
    <t>1h</t>
  </si>
  <si>
    <t>Ambient Temperature (in F)</t>
  </si>
  <si>
    <t>F</t>
  </si>
  <si>
    <t>1i</t>
  </si>
  <si>
    <t>Enthalpy of Fixed Carbon</t>
  </si>
  <si>
    <t>J/kg</t>
  </si>
  <si>
    <t>1j</t>
  </si>
  <si>
    <t>Enthalpy of Ash</t>
  </si>
  <si>
    <t>1k</t>
  </si>
  <si>
    <t>Enthaly of water (moisture)</t>
  </si>
  <si>
    <t>1l</t>
  </si>
  <si>
    <t>Enthaly of Primary Volatile Matter</t>
  </si>
  <si>
    <t>1m</t>
  </si>
  <si>
    <t>Enthaly of Secondary Volatile Matter</t>
  </si>
  <si>
    <t>1n</t>
  </si>
  <si>
    <t>Enthalpy of Coal</t>
  </si>
  <si>
    <t>KJ/Kg</t>
  </si>
  <si>
    <t>Enthalpy Calculation of Dry Air</t>
  </si>
  <si>
    <t>2a</t>
  </si>
  <si>
    <t>Temperature of dry air</t>
  </si>
  <si>
    <t>K</t>
  </si>
  <si>
    <t>Dry Air Temperature (Deg)</t>
  </si>
  <si>
    <t>2b</t>
  </si>
  <si>
    <t>Enthalpy of Ambient air</t>
  </si>
  <si>
    <t>2c</t>
  </si>
  <si>
    <t>Temperature of Flue Gas</t>
  </si>
  <si>
    <t>Flue Gas Temperature (Deg)</t>
  </si>
  <si>
    <t>2d</t>
  </si>
  <si>
    <t>Enthalpy of Flue Gas</t>
  </si>
  <si>
    <t>2e</t>
  </si>
  <si>
    <t>Temperature of Primary air at APH inlet</t>
  </si>
  <si>
    <t>2f</t>
  </si>
  <si>
    <t>Enthalpy of Primary air at APH inlet</t>
  </si>
  <si>
    <t>Temperature of Primary air at APH outlet</t>
  </si>
  <si>
    <t>Enthalpy of Primary air at APH outlet</t>
  </si>
  <si>
    <t>Average Temperature of Primary air at Mill inlet</t>
  </si>
  <si>
    <t>Enthalpy of Primary air at Mill inlet</t>
  </si>
  <si>
    <t>Enthalpy Calculation of Water Vapour</t>
  </si>
  <si>
    <t>C0</t>
  </si>
  <si>
    <t>C1</t>
  </si>
  <si>
    <t>C2</t>
  </si>
  <si>
    <t>C3</t>
  </si>
  <si>
    <t>C4</t>
  </si>
  <si>
    <t>C5</t>
  </si>
  <si>
    <t>3a</t>
  </si>
  <si>
    <t xml:space="preserve">Temperature </t>
  </si>
  <si>
    <t>Temperature (Deg)</t>
  </si>
  <si>
    <t>3b</t>
  </si>
  <si>
    <t>Enthalpy of Water Vapour</t>
  </si>
  <si>
    <t>3c</t>
  </si>
  <si>
    <t>3d</t>
  </si>
  <si>
    <t>Enthalpy Calculation of Dry Flue Gas</t>
  </si>
  <si>
    <t>4a</t>
  </si>
  <si>
    <t>Temperature of dry flue gas (in K)</t>
  </si>
  <si>
    <t>Dry Flue Gas Temperature (Deg)</t>
  </si>
  <si>
    <t>4b</t>
  </si>
  <si>
    <t>Enthalpy of Dry Flue Gas</t>
  </si>
  <si>
    <t>Enthalpy Calculation of Residue</t>
  </si>
  <si>
    <t>5a</t>
  </si>
  <si>
    <t>5b</t>
  </si>
  <si>
    <t>Enthalpy of Residue</t>
  </si>
  <si>
    <t>5c</t>
  </si>
  <si>
    <t>5d</t>
  </si>
  <si>
    <t>Enthalpy Calculation of Steam/Water at partial pressure of 1 psia</t>
  </si>
  <si>
    <t>6a</t>
  </si>
  <si>
    <t>6b</t>
  </si>
  <si>
    <t>Enthalpy of steam/water at partial pr of 1 psia</t>
  </si>
  <si>
    <t>UNBURNT CARBON &amp; RESIDUE CALCULATIONS</t>
  </si>
  <si>
    <t>Ash % in coal</t>
  </si>
  <si>
    <t>7z</t>
  </si>
  <si>
    <t>GCV of Coal (As Fired)</t>
  </si>
  <si>
    <t>Coal GCV (As fired)</t>
  </si>
  <si>
    <t>7a</t>
  </si>
  <si>
    <t>Unburnt Carbon (BA)</t>
  </si>
  <si>
    <t>7b</t>
  </si>
  <si>
    <t>Residue Distribution (BA)</t>
  </si>
  <si>
    <t>7c</t>
  </si>
  <si>
    <t>Unburnt Carbon in BA = 7a*7b/100</t>
  </si>
  <si>
    <t>Kg/100 kg of ash</t>
  </si>
  <si>
    <t>7d</t>
  </si>
  <si>
    <t>Unburnt Carbon (FA)</t>
  </si>
  <si>
    <t>7e</t>
  </si>
  <si>
    <t>Residue Distribution (FA)</t>
  </si>
  <si>
    <t>7f</t>
  </si>
  <si>
    <t>Unburnt Carbon in FA = 7d*7e/100</t>
  </si>
  <si>
    <t>Fly Ash Temperature</t>
  </si>
  <si>
    <t>7g</t>
  </si>
  <si>
    <t>Total Unburnt Carbon = 7c+7f</t>
  </si>
  <si>
    <t>7h</t>
  </si>
  <si>
    <t>Total Unburnt Carbon = Ash%*7g/(100-7g)</t>
  </si>
  <si>
    <t>Kg/100 kg of coal</t>
  </si>
  <si>
    <t>7i</t>
  </si>
  <si>
    <t>Total Residue = Ash% + 7h</t>
  </si>
  <si>
    <t>7j</t>
  </si>
  <si>
    <t>Total Residue</t>
  </si>
  <si>
    <t>7k</t>
  </si>
  <si>
    <t>Kg/1000 KJ</t>
  </si>
  <si>
    <t>7l</t>
  </si>
  <si>
    <t>Bottom Ash Temp</t>
  </si>
  <si>
    <t>7m</t>
  </si>
  <si>
    <t>Bottom Ash Quantity = 7k*7b/100</t>
  </si>
  <si>
    <t>7n</t>
  </si>
  <si>
    <t xml:space="preserve">Bottom Ash Enthalpy </t>
  </si>
  <si>
    <t>J/Kg</t>
  </si>
  <si>
    <t>7o</t>
  </si>
  <si>
    <t>Loss percentage (bottom ash)</t>
  </si>
  <si>
    <t>7p</t>
  </si>
  <si>
    <t>Fly Ash Temp</t>
  </si>
  <si>
    <t>7q</t>
  </si>
  <si>
    <t>Fly Ash Quantity = 7k*7e/100</t>
  </si>
  <si>
    <t>7r</t>
  </si>
  <si>
    <t xml:space="preserve">Fly Ash Enthalpy </t>
  </si>
  <si>
    <t>7s</t>
  </si>
  <si>
    <t>Loss percentage (fly ash)</t>
  </si>
  <si>
    <t>7t</t>
  </si>
  <si>
    <t>Total loss due to sensible heat in residue = 7o+7s</t>
  </si>
  <si>
    <t>THEORITICAL AIR CALCULATION</t>
  </si>
  <si>
    <t>Carbon</t>
  </si>
  <si>
    <t>% mass</t>
  </si>
  <si>
    <t>8a</t>
  </si>
  <si>
    <t>Carbon Burnt = carbon - 7h</t>
  </si>
  <si>
    <t>Sulphur</t>
  </si>
  <si>
    <t>8b</t>
  </si>
  <si>
    <t>Theoritical Air for Carbon</t>
  </si>
  <si>
    <t>kg air/kg carbon</t>
  </si>
  <si>
    <t>Hydrogen</t>
  </si>
  <si>
    <t>8c</t>
  </si>
  <si>
    <t>Theoritical Air for Carbon = 8a*8b</t>
  </si>
  <si>
    <t>kg air/100 kg coal</t>
  </si>
  <si>
    <t>Moisture</t>
  </si>
  <si>
    <t>Nitrogen</t>
  </si>
  <si>
    <t>8d</t>
  </si>
  <si>
    <t>Oxygen</t>
  </si>
  <si>
    <t>8e</t>
  </si>
  <si>
    <t>Theoritical Air for Sulphur</t>
  </si>
  <si>
    <t>kg air/kg Sulphur</t>
  </si>
  <si>
    <t>Carbonates</t>
  </si>
  <si>
    <t>8f</t>
  </si>
  <si>
    <t>Theoritical Air for Sulphur = 8d*8e</t>
  </si>
  <si>
    <t>Phosphorus</t>
  </si>
  <si>
    <t>Ash</t>
  </si>
  <si>
    <t>8g</t>
  </si>
  <si>
    <t>Volatile Matter</t>
  </si>
  <si>
    <t>8h</t>
  </si>
  <si>
    <t>Theoritical Air for Hydrogen</t>
  </si>
  <si>
    <t>kg air/kg Hydrogen</t>
  </si>
  <si>
    <t>Fixed Carbon</t>
  </si>
  <si>
    <t>8i</t>
  </si>
  <si>
    <t>Theoritical Air for Hydrogen = 8d*8e</t>
  </si>
  <si>
    <t>8j</t>
  </si>
  <si>
    <t>8k</t>
  </si>
  <si>
    <t>Theoritical Air for Oxygen</t>
  </si>
  <si>
    <t>kg air/kg Oxygen</t>
  </si>
  <si>
    <t>8l</t>
  </si>
  <si>
    <t>Theoritical Air for Oxygen = 8d*8e</t>
  </si>
  <si>
    <t>8m</t>
  </si>
  <si>
    <t>Theoritical Air for Fuel = 8c+8f+8i+8l</t>
  </si>
  <si>
    <t>8n</t>
  </si>
  <si>
    <t>Theoritical Air for Fuel = 8m/28.966</t>
  </si>
  <si>
    <t>Mol/100 kg coal</t>
  </si>
  <si>
    <t>DRY PRODUCT CALCULATION</t>
  </si>
  <si>
    <t>9a</t>
  </si>
  <si>
    <t>Dry Product Carbon Burnt</t>
  </si>
  <si>
    <t>Mol/kg of Carbon</t>
  </si>
  <si>
    <t>9b</t>
  </si>
  <si>
    <t>Dry Product Carbon Burnt = 8a/9a</t>
  </si>
  <si>
    <t>Mol/100 kg of Coal</t>
  </si>
  <si>
    <t>9c</t>
  </si>
  <si>
    <t>Dry Product Sulphur Burnt</t>
  </si>
  <si>
    <t>Mol/kg of Sulphur</t>
  </si>
  <si>
    <t>9d</t>
  </si>
  <si>
    <t>Dry Product Sulphur Burnt = 8d/9c</t>
  </si>
  <si>
    <t>9e</t>
  </si>
  <si>
    <t>9f</t>
  </si>
  <si>
    <t>Dry Product Nitrogen Burnt</t>
  </si>
  <si>
    <t>Mol/kg of Nitrogen</t>
  </si>
  <si>
    <t>9g</t>
  </si>
  <si>
    <t>Dry Product Nitrogen Burnt = 9e/9f</t>
  </si>
  <si>
    <t>9h</t>
  </si>
  <si>
    <t>Total Dry Product = 9b+9d+9g</t>
  </si>
  <si>
    <t>WET PRODUCT CALCULATION</t>
  </si>
  <si>
    <t>10a</t>
  </si>
  <si>
    <t>Wet Product due to Hydrogen</t>
  </si>
  <si>
    <t>Mol/kg of Hydrogen</t>
  </si>
  <si>
    <t>10b</t>
  </si>
  <si>
    <t>Wet Product due to Hydrogen = 8g/10a</t>
  </si>
  <si>
    <t>10c</t>
  </si>
  <si>
    <t>10d</t>
  </si>
  <si>
    <t>Wet Product due to Moisture</t>
  </si>
  <si>
    <t>Mol/kg of Moisture</t>
  </si>
  <si>
    <t>10e</t>
  </si>
  <si>
    <t>Wet Product due to Moisture = 10c/10d</t>
  </si>
  <si>
    <t>10f</t>
  </si>
  <si>
    <t>Total Wet Product = 10b+10e</t>
  </si>
  <si>
    <t>MOISTURE FROM FUEL CALCULATION</t>
  </si>
  <si>
    <t>11a</t>
  </si>
  <si>
    <t>GCV of as fired coal</t>
  </si>
  <si>
    <t>11b</t>
  </si>
  <si>
    <t>Moisture from Hydrogen</t>
  </si>
  <si>
    <t>kg m/kg of Hydrogen</t>
  </si>
  <si>
    <t>11c</t>
  </si>
  <si>
    <t>Moisture from Hydrogen = 8g*11b/11a</t>
  </si>
  <si>
    <t>kg m/ KJ</t>
  </si>
  <si>
    <t>11d</t>
  </si>
  <si>
    <t>Moisture from Fuel</t>
  </si>
  <si>
    <t>kg m/kg of Moisture</t>
  </si>
  <si>
    <t>11e</t>
  </si>
  <si>
    <t>Moisture from Fuel = 10c*11d/11a</t>
  </si>
  <si>
    <t>11f</t>
  </si>
  <si>
    <t>Total Moisture from Fuel = 11c+11e</t>
  </si>
  <si>
    <t>11g</t>
  </si>
  <si>
    <t>Theoritical Air for fuel = 8n</t>
  </si>
  <si>
    <t>11h</t>
  </si>
  <si>
    <t>Theoritical Air for fuel = 8m/11a/100</t>
  </si>
  <si>
    <t>Kg/KJ</t>
  </si>
  <si>
    <t>11i</t>
  </si>
  <si>
    <t>Unburnt Carbon in Ash = 7h</t>
  </si>
  <si>
    <t>11j</t>
  </si>
  <si>
    <t>% mass of Ash in fuel</t>
  </si>
  <si>
    <t>11k</t>
  </si>
  <si>
    <t>Wet Gas from Fuel = (100-11i-11j-sulphur%)/11a/100</t>
  </si>
  <si>
    <t>APH Inlet Calculations</t>
  </si>
  <si>
    <t>12a</t>
  </si>
  <si>
    <t>Weighted Air Temperature of Air leaving APH</t>
  </si>
  <si>
    <t>12b</t>
  </si>
  <si>
    <t>Moisture in air</t>
  </si>
  <si>
    <t>12c</t>
  </si>
  <si>
    <t>Dry Combustion Products = 9h</t>
  </si>
  <si>
    <t>12d</t>
  </si>
  <si>
    <t>Wet Combustion Products = 10f</t>
  </si>
  <si>
    <t>12e</t>
  </si>
  <si>
    <t>Theoritical Air = 8n * (0.7905 + 12b)</t>
  </si>
  <si>
    <t>12f</t>
  </si>
  <si>
    <t>Summation = 12c + 12e</t>
  </si>
  <si>
    <t>Moisture in Air</t>
  </si>
  <si>
    <t>12g</t>
  </si>
  <si>
    <t>Summation = 20.95-(O2%)*(1+12b)</t>
  </si>
  <si>
    <t>12h</t>
  </si>
  <si>
    <t>Excess Air = (o2%*12f)/(8n*12g)%</t>
  </si>
  <si>
    <t>12i</t>
  </si>
  <si>
    <t>Dry Air = (1+12h/100) * 11h</t>
  </si>
  <si>
    <t>12j</t>
  </si>
  <si>
    <t>Wet Gas from Fuel = 11k</t>
  </si>
  <si>
    <t>12k</t>
  </si>
  <si>
    <t>Moisture in Air = 12i*moisture</t>
  </si>
  <si>
    <t>12l</t>
  </si>
  <si>
    <t>Total Wet Gas = 12i+12j+12k</t>
  </si>
  <si>
    <t>12m</t>
  </si>
  <si>
    <t>H2O in Wet Gas = 11f+12k</t>
  </si>
  <si>
    <t>12n</t>
  </si>
  <si>
    <t>Dry Gas = 12l-12m</t>
  </si>
  <si>
    <t>12o</t>
  </si>
  <si>
    <t>H2O % in Wet Gas = (12m/12l)*100</t>
  </si>
  <si>
    <t>APH Outlet Calculations</t>
  </si>
  <si>
    <t>13a</t>
  </si>
  <si>
    <t>Weighted Air Temperature of Air entering APH</t>
  </si>
  <si>
    <t>13b</t>
  </si>
  <si>
    <t>13c</t>
  </si>
  <si>
    <t>13d</t>
  </si>
  <si>
    <t>13e</t>
  </si>
  <si>
    <t>Theoritical Air = 8n * (0.7905 + 13b)</t>
  </si>
  <si>
    <t>13f</t>
  </si>
  <si>
    <t>Summation = 13c + 13e</t>
  </si>
  <si>
    <t>13g</t>
  </si>
  <si>
    <t>Summation = (20.95-o2%)*(1+13b)</t>
  </si>
  <si>
    <t>13h</t>
  </si>
  <si>
    <t>Excess Air = (100*o2%*13f)/(8n*13g)%</t>
  </si>
  <si>
    <t>13i</t>
  </si>
  <si>
    <t>Dry Air = (1+13h/100) * 11h</t>
  </si>
  <si>
    <t>13j</t>
  </si>
  <si>
    <t>13k</t>
  </si>
  <si>
    <t>Moisture in Air = 13i*moisture</t>
  </si>
  <si>
    <t>13l</t>
  </si>
  <si>
    <t>13m</t>
  </si>
  <si>
    <t>H2O in Wet Gas = 11f+13k</t>
  </si>
  <si>
    <t>13n</t>
  </si>
  <si>
    <t>Dry Gas = 13l-13m</t>
  </si>
  <si>
    <t>13o</t>
  </si>
  <si>
    <t>H2O % in Wet Gas = (13m/13l)*100</t>
  </si>
  <si>
    <t>Air Leakage in APH Calculations</t>
  </si>
  <si>
    <t>14a</t>
  </si>
  <si>
    <t>Air Leakage % = ((o2l-o2e)/(21-o2l))*0.9*100</t>
  </si>
  <si>
    <t>14b</t>
  </si>
  <si>
    <t>Gas Temperature leaving APH = 2c - 273.15</t>
  </si>
  <si>
    <t>14c</t>
  </si>
  <si>
    <t>Air Temperature entering APH = 2a - 273.15</t>
  </si>
  <si>
    <t>14d</t>
  </si>
  <si>
    <t>Enthalpy of Gas leaving APH = 2d/1000</t>
  </si>
  <si>
    <t>14e</t>
  </si>
  <si>
    <t>Enthalpy of Air entering APH = 2b/1000</t>
  </si>
  <si>
    <t>14f</t>
  </si>
  <si>
    <t>Cpg = 0.2405*4.186</t>
  </si>
  <si>
    <t>14g</t>
  </si>
  <si>
    <t>Corrected FG Temp. = 14b+(14a*(14d-14e))/(100*14f)</t>
  </si>
  <si>
    <t>Efficiency Calculations</t>
  </si>
  <si>
    <t>15.1a</t>
  </si>
  <si>
    <t>Enthalpy of water = 15.1 * 4.186</t>
  </si>
  <si>
    <t>Average Air entering temperature = 2a - 273.15</t>
  </si>
  <si>
    <t>15.2a</t>
  </si>
  <si>
    <t>Enthalpy of dry air = 2b/1000</t>
  </si>
  <si>
    <t>15.2b</t>
  </si>
  <si>
    <t>Enthalpy of Water Vapour = 3b/1000</t>
  </si>
  <si>
    <t>Average Gas exit temperature, (no leakage) = 14g</t>
  </si>
  <si>
    <t>15.3a</t>
  </si>
  <si>
    <t>Enthalpy of Dry Gas = 4b/1000</t>
  </si>
  <si>
    <t>15.3b</t>
  </si>
  <si>
    <t>Enthalpy of Water Vapour = 3d/1000</t>
  </si>
  <si>
    <t>15.3c</t>
  </si>
  <si>
    <t>Enthalpy of Steam = 6b/1000</t>
  </si>
  <si>
    <t>Fuel Temperature</t>
  </si>
  <si>
    <t>15.4a</t>
  </si>
  <si>
    <t>Enthalpy of Fuel = 1n/1000</t>
  </si>
  <si>
    <t>Entering Gas Temperature</t>
  </si>
  <si>
    <t>Leaving Gas Temperature</t>
  </si>
  <si>
    <t>Dry Air Weight = 13i</t>
  </si>
  <si>
    <t>Dry Gas Weight =13n</t>
  </si>
  <si>
    <t>Water from H2 = 11c</t>
  </si>
  <si>
    <t>Water from H2O = 11e</t>
  </si>
  <si>
    <t>Water from H2O vapour</t>
  </si>
  <si>
    <t>Moisture in Air = 13k</t>
  </si>
  <si>
    <t>Fuel Flow Rate</t>
  </si>
  <si>
    <t>Unburnt Carbon = 7h</t>
  </si>
  <si>
    <t>Unit Output</t>
  </si>
  <si>
    <t>KJ/hr</t>
  </si>
  <si>
    <t>Auxiliary Power Consumption</t>
  </si>
  <si>
    <t>Heat loading at bottom strip</t>
  </si>
  <si>
    <t>KJ/m2hr</t>
  </si>
  <si>
    <t>Furnace Bottom opening area</t>
  </si>
  <si>
    <t>m2</t>
  </si>
  <si>
    <t>WDA</t>
  </si>
  <si>
    <t>Weight of moisture in dry air</t>
  </si>
  <si>
    <t>Kg/Kg</t>
  </si>
  <si>
    <t>WA</t>
  </si>
  <si>
    <t>Weight of moisture in wet air</t>
  </si>
  <si>
    <t>Unit Output Calculation</t>
  </si>
  <si>
    <t>Feed Water Specific Enthalpy</t>
  </si>
  <si>
    <t>Feed Water Final Enthalpy</t>
  </si>
  <si>
    <t>Main Steam Specific Enthalpy</t>
  </si>
  <si>
    <t>Main Steam Final Enthalpy</t>
  </si>
  <si>
    <t>SH Spray Specific Enthalpy</t>
  </si>
  <si>
    <t>SH Spray Final Enthalpy</t>
  </si>
  <si>
    <t>HRH Steam Specific Enthalpy</t>
  </si>
  <si>
    <t>HRH Steam Final Enthalpy</t>
  </si>
  <si>
    <t>CRH Steam Specific Enthalpy</t>
  </si>
  <si>
    <t>CRH Steam Final Enthalpy</t>
  </si>
  <si>
    <t>RH Spray Specific Enthalpy</t>
  </si>
  <si>
    <t>RH Spray Final Enthalpy</t>
  </si>
  <si>
    <t>Unit Output = (16.11-16.6)+(16.21-16.26)-(16.16+16.31)</t>
  </si>
  <si>
    <t>Final Losses</t>
  </si>
  <si>
    <t>Dry Gas Loss = 15.8*15.3a*100</t>
  </si>
  <si>
    <t>Water from H2 Fuel Loss = 15.9*(15.3c-15.1a)*100</t>
  </si>
  <si>
    <t>Water from H2O Fuel Loss = 15.10*(15.3c-15.1a)*100</t>
  </si>
  <si>
    <t>Moisture in Air Loss = 15.12*15.3b*100</t>
  </si>
  <si>
    <t>Unburnt Carbon Loss = 15.14*8054*4.1868/15.15</t>
  </si>
  <si>
    <t>Sensible Heat of Residue Loss = 7t</t>
  </si>
  <si>
    <t>CO in Flue Gas Loss = value assumed</t>
  </si>
  <si>
    <t>Mill Rejects Loss =(MRW*MRGCV)*100/(15.13*15.15)</t>
  </si>
  <si>
    <t>Total Losses in Boiler = 17.(1+2+3+4+5+6+7+8)</t>
  </si>
  <si>
    <t>Surface Radiation Losses assumed to be 0.21%</t>
  </si>
  <si>
    <t>Input from Fuel = (16.32/Estimated Efficiency)*100</t>
  </si>
  <si>
    <t>Heat Loss due to surface radiation = 17.9*100/17.10</t>
  </si>
  <si>
    <t>Heat Loss due to radiation through furnace bottom
= 15.18 * 15.19</t>
  </si>
  <si>
    <t>Total Radiation Losses = 17.11 + 17.12</t>
  </si>
  <si>
    <t>Heat Credits</t>
  </si>
  <si>
    <t>Entering Dry Air = 15.7*15.2a*100</t>
  </si>
  <si>
    <t>Moisture in Air = 15.12*15.2b*100</t>
  </si>
  <si>
    <t>Sensible Heat in Fuel = 15.4a*100/15.15</t>
  </si>
  <si>
    <t>Total Heat Credits = 17.14 + 17.15 + 17.16</t>
  </si>
  <si>
    <t xml:space="preserve">Boiler Auxiliary Power Consumption </t>
  </si>
  <si>
    <t>Fuel Efficiency = 
(100-17-17.17)*(16.32/(16.32+17.13-17.18)</t>
  </si>
  <si>
    <t xml:space="preserve">
Unit Performance Tests - Heat Rate Calculations</t>
  </si>
  <si>
    <t>Parameter</t>
  </si>
  <si>
    <t>Specific Enthalpy of MS, Sms</t>
  </si>
  <si>
    <t>Specific Enthalpy of HRH, Shrh</t>
  </si>
  <si>
    <t>Total MS Flow, Fms</t>
  </si>
  <si>
    <t>Specific Enthalpy of CRH, Scrh</t>
  </si>
  <si>
    <t>Total Feed Water Flow</t>
  </si>
  <si>
    <t>Specific Enthalpy of FW, Sfw</t>
  </si>
  <si>
    <t>Total Fuel Flow</t>
  </si>
  <si>
    <t>Total SH Spray Flow</t>
  </si>
  <si>
    <t>Total RH Spray Flow, Fhrs</t>
  </si>
  <si>
    <t>KJ</t>
  </si>
  <si>
    <t>MS Temperature</t>
  </si>
  <si>
    <t>MS Pressure</t>
  </si>
  <si>
    <t>HRH Temperature</t>
  </si>
  <si>
    <t>Summation</t>
  </si>
  <si>
    <t>HRH Pressure</t>
  </si>
  <si>
    <t>Kcal</t>
  </si>
  <si>
    <t>CRH Temperature</t>
  </si>
  <si>
    <t>Power Generation</t>
  </si>
  <si>
    <t>CRH Pressure</t>
  </si>
  <si>
    <t>Condenser Vacuum</t>
  </si>
  <si>
    <t>Kg/cm2 vm</t>
  </si>
  <si>
    <t>Turbine Cycle Heat Rate = HA/PG</t>
  </si>
  <si>
    <t>Kcal/KWh</t>
  </si>
  <si>
    <t>BOILER EFFICIENCY</t>
  </si>
  <si>
    <t>Gross Unit Heat Rate = TCHR/Boiler Efficiency</t>
  </si>
  <si>
    <t>Calculated Reheat Flow, Fhrh</t>
  </si>
  <si>
    <t xml:space="preserve"> Enthalpy of FW before HPH 6</t>
  </si>
  <si>
    <t>Feed Water Temperature before HPH6</t>
  </si>
  <si>
    <t xml:space="preserve"> Enthalpy of FW after HPH 6</t>
  </si>
  <si>
    <t>Feed Water Pressure before HPH6</t>
  </si>
  <si>
    <t xml:space="preserve"> Enthalpy of Extraction for HPH 6</t>
  </si>
  <si>
    <t>Feed Water Temperature after HPH6</t>
  </si>
  <si>
    <t xml:space="preserve"> Enthalpy of HPH 6 drain</t>
  </si>
  <si>
    <t>Feed Water Pressure after HPH6</t>
  </si>
  <si>
    <t>Extraction steam temperature</t>
  </si>
  <si>
    <t>Extraction Steam Flow =</t>
  </si>
  <si>
    <t>Drain temperature</t>
  </si>
  <si>
    <t>Conversion from Proximate Analysis to Ultimate Analysis</t>
  </si>
  <si>
    <t>Proximate Analysis of as fired coal as per ‘Total Moisture’ basis</t>
  </si>
  <si>
    <t xml:space="preserve">Calculation of Ultimate Analysis of as fired coal </t>
  </si>
  <si>
    <t xml:space="preserve">FcDc(T) </t>
  </si>
  <si>
    <t>Free Carbon On Dry Ash Free Basis</t>
  </si>
  <si>
    <t>FC/[1-(1.1* A/100)–(M/100)]</t>
  </si>
  <si>
    <t>VmDf(T)</t>
  </si>
  <si>
    <t>Volatile Matter On Dry Ash Free Basis</t>
  </si>
  <si>
    <t>[100 - FcDc(T)]</t>
  </si>
  <si>
    <t>Cdf(T)</t>
  </si>
  <si>
    <t>Fixed Carbon On Dry Ash Free Basis</t>
  </si>
  <si>
    <t>[FcDc(T)+ 0.9*[VmDf(T) – 14 ]</t>
  </si>
  <si>
    <t>Hdf(T)</t>
  </si>
  <si>
    <t>Hydrogen On Dry Ash Free Basis</t>
  </si>
  <si>
    <t>VmDf(T)* (7.35/(VmDf(T) + 10)-0.013)</t>
  </si>
  <si>
    <t>Ndf(T)</t>
  </si>
  <si>
    <t>Nitrogen On Dry Ash Free Basis</t>
  </si>
  <si>
    <t>[ 2.1 - ( 0.012 * VmDf(T)]</t>
  </si>
  <si>
    <t>C %</t>
  </si>
  <si>
    <t>Carbon Percentage 
(Ultimate Value)</t>
  </si>
  <si>
    <t>Cdf(T) * [ VM+ FC(T)] /[ VmDf(T) + FcDc(T) ]</t>
  </si>
  <si>
    <t>H %</t>
  </si>
  <si>
    <t>Hydrogen Percentage (Ultimate Value)</t>
  </si>
  <si>
    <t>Hdf(T) * [VM(T)+ FC] / [VmDf(T) + FcDc(T) ]</t>
  </si>
  <si>
    <t>N %</t>
  </si>
  <si>
    <t>Nitrogen Percentage (Ultimate Value)</t>
  </si>
  <si>
    <t>Ndf(T) * [VM(T)+ C(T)] / [ VmDf(T) + FcDc(T) ]</t>
  </si>
  <si>
    <t>S %</t>
  </si>
  <si>
    <t>Sulphur Percentage
 (Ultimate Value)</t>
  </si>
  <si>
    <t>Assumed As Per Site Reference Value.</t>
  </si>
  <si>
    <t>O %</t>
  </si>
  <si>
    <t>Oxygen % (Ultimate Value)</t>
  </si>
  <si>
    <t>100 – M - A – Ca – H – N – S</t>
  </si>
  <si>
    <t>DATE &amp; TIME</t>
  </si>
  <si>
    <t>CRH Flow(excluding ext. 6 flow+htp leak off flow) =</t>
  </si>
  <si>
    <t>Enthalpy of SH Spray</t>
  </si>
  <si>
    <t>Enthalpy of RH Spray</t>
  </si>
  <si>
    <t xml:space="preserve">Heat added in SH Spray </t>
  </si>
  <si>
    <t>Heat added in RH Spray</t>
  </si>
  <si>
    <t>Heat added to CRH</t>
  </si>
  <si>
    <t>Heat added in FW</t>
  </si>
  <si>
    <t>1LAE20CP001_XQ01.OUT.AVERAGE</t>
  </si>
  <si>
    <t xml:space="preserve"> RH SPRAY WATER TEMP  </t>
  </si>
  <si>
    <t xml:space="preserve">1LAE25CT001_XQ03.OUT.AVERAGE  </t>
  </si>
  <si>
    <t xml:space="preserve">1LAE16CT001_XQ03.OUT.AVERAGE </t>
  </si>
  <si>
    <t xml:space="preserve">SH SPRAY STG-1 PRESSURE  </t>
  </si>
  <si>
    <t xml:space="preserve">1LAE10CP001_XQ01.OUT.AVERAGE     </t>
  </si>
  <si>
    <t>DATE</t>
  </si>
  <si>
    <t>TIME</t>
  </si>
  <si>
    <t>UNIT</t>
  </si>
  <si>
    <t>Sno.</t>
  </si>
  <si>
    <t>10/29/2020   2:30:00PM</t>
  </si>
  <si>
    <t>10/29/2020   4:30:00PM</t>
  </si>
  <si>
    <t>UNIT - 1</t>
  </si>
  <si>
    <t>10/2/2020   3:00:00PM</t>
  </si>
  <si>
    <t>10/2/2020   5:00:00PM</t>
  </si>
  <si>
    <t>UNIT - 2</t>
  </si>
  <si>
    <t>11/3/2020   2:45:00PM</t>
  </si>
  <si>
    <t>11/3/2020   6:45:00PM</t>
  </si>
  <si>
    <t xml:space="preserve">FW ECO I/L TEMP   </t>
  </si>
  <si>
    <t xml:space="preserve">FW ECO I/L PR   </t>
  </si>
  <si>
    <t xml:space="preserve">ECO O/L TEMP-L   </t>
  </si>
  <si>
    <t xml:space="preserve">ECO O/L R TEMP   </t>
  </si>
  <si>
    <t xml:space="preserve">AH-A I/L TEMP   </t>
  </si>
  <si>
    <t xml:space="preserve">ECO O/L-L PR   </t>
  </si>
  <si>
    <t xml:space="preserve">ECO O/L-R PR   </t>
  </si>
  <si>
    <t xml:space="preserve">RH O/L PR   </t>
  </si>
  <si>
    <t xml:space="preserve">RH O/L TEMP-1   </t>
  </si>
  <si>
    <t xml:space="preserve">RH O/L TEMP-2   </t>
  </si>
  <si>
    <t xml:space="preserve">O2 ECO O/L-L   </t>
  </si>
  <si>
    <t xml:space="preserve">O2 ECO O/L -R   </t>
  </si>
  <si>
    <t xml:space="preserve">O2 AH-A O/L   </t>
  </si>
  <si>
    <t xml:space="preserve">PA FAN-A O/L TEMP   </t>
  </si>
  <si>
    <t xml:space="preserve">PA  AH-A O/L TEMP   </t>
  </si>
  <si>
    <t xml:space="preserve">PA FAN-A O/L PR   </t>
  </si>
  <si>
    <t xml:space="preserve">PA AH-A O/L PR   </t>
  </si>
  <si>
    <t xml:space="preserve">TOTAL COAL FLOW   </t>
  </si>
  <si>
    <t xml:space="preserve">MILL-A COAL FLOW   </t>
  </si>
  <si>
    <t xml:space="preserve">MILL-C COAL FLOW   </t>
  </si>
  <si>
    <t xml:space="preserve">MILL-E COAL FLOW   </t>
  </si>
  <si>
    <t xml:space="preserve">PA FLOW MILL-A   </t>
  </si>
  <si>
    <t xml:space="preserve">PA FLOW MILL-C   </t>
  </si>
  <si>
    <t xml:space="preserve">PA FLOW MILL-E   </t>
  </si>
  <si>
    <t xml:space="preserve">MILL-A TMP MIX AIR   </t>
  </si>
  <si>
    <t xml:space="preserve">MILL-C TMP MIX AIR   </t>
  </si>
  <si>
    <t xml:space="preserve">MILL-E TMP MIX AIR   </t>
  </si>
  <si>
    <t xml:space="preserve">FG AH-A O/L TMP   </t>
  </si>
  <si>
    <t xml:space="preserve">FG AH-A I/L PR   </t>
  </si>
  <si>
    <t xml:space="preserve">FG AH-A O/L PR   </t>
  </si>
  <si>
    <t xml:space="preserve">MILL-A CURRENT   </t>
  </si>
  <si>
    <t xml:space="preserve">MILL-C CURRENT   </t>
  </si>
  <si>
    <t>Tag Point</t>
  </si>
  <si>
    <t>of</t>
  </si>
  <si>
    <t>1/29/2021   1:00:00PM</t>
  </si>
  <si>
    <t>1/29/2021   4:00:00PM</t>
  </si>
  <si>
    <t>UHR(Unaccounted 18.93 Kcal/Kwh) = TCHR/Boiler Efficiency</t>
  </si>
  <si>
    <t>4/13/2021   7:50:00AM</t>
  </si>
  <si>
    <t>4/13/2021   9:45:00AM</t>
  </si>
  <si>
    <t>4/13/2021   9:50:00PM</t>
  </si>
  <si>
    <t>4/13/2021  11:45:00PM</t>
  </si>
  <si>
    <t>4/12/2021   5:35:00PM</t>
  </si>
  <si>
    <t>4/12/2021   9:30:00PM</t>
  </si>
  <si>
    <t>Design Value</t>
  </si>
  <si>
    <t>TMR(100%)   
 270 MW</t>
  </si>
  <si>
    <t>6/12/2021  11:00:00PM</t>
  </si>
  <si>
    <t>6/13/2021   1:00:00AM</t>
  </si>
  <si>
    <t>6/28/2021   1:00:00PM</t>
  </si>
  <si>
    <t>6/28/2021   3:00:00PM</t>
  </si>
  <si>
    <t>6/18/2021  10:30:00AM</t>
  </si>
  <si>
    <t>6/18/2021  12:30:00PM</t>
  </si>
  <si>
    <t>6/24/2021   5:45:00PM</t>
  </si>
  <si>
    <t>6/24/2021   7:45:00PM</t>
  </si>
  <si>
    <t>6/17/2021   2:00:00AM</t>
  </si>
  <si>
    <t>0.00</t>
  </si>
  <si>
    <t>6/17/2021   6:00:00AM</t>
  </si>
  <si>
    <t xml:space="preserve">FEE WATER FLOW   </t>
  </si>
  <si>
    <t xml:space="preserve">HPH OUTLET HR TEMP   </t>
  </si>
  <si>
    <t xml:space="preserve">HPH-6 OUTLET HR PR   </t>
  </si>
  <si>
    <t xml:space="preserve">RUM PR   </t>
  </si>
  <si>
    <t xml:space="preserve">MILL- COAL FLOW   </t>
  </si>
  <si>
    <t xml:space="preserve">PA FLOW MILL-   </t>
  </si>
  <si>
    <t xml:space="preserve">MILL- TMP MIX AIR   </t>
  </si>
  <si>
    <t xml:space="preserve">F FAN-A O/L TMP   </t>
  </si>
  <si>
    <t xml:space="preserve">F FAN-A O/L PR   </t>
  </si>
  <si>
    <t xml:space="preserve">MILL- CURRENT   </t>
  </si>
  <si>
    <t xml:space="preserve">HPH-5 O/L FeeWater Temp   </t>
  </si>
  <si>
    <t xml:space="preserve">HPH-5 O/L FeeWater Pr.   </t>
  </si>
  <si>
    <t xml:space="preserve">HPH-6 rain Temp.   </t>
  </si>
  <si>
    <t xml:space="preserve">CON I/L TMP   </t>
  </si>
  <si>
    <t xml:space="preserve">CON O/L TMP   </t>
  </si>
  <si>
    <t>eman Report</t>
  </si>
  <si>
    <t xml:space="preserve">TOTAL M FLOW   </t>
  </si>
  <si>
    <t xml:space="preserve">RH FLOW(PRAY)   </t>
  </si>
  <si>
    <t xml:space="preserve">RH PRAY WATER PREURE   </t>
  </si>
  <si>
    <t xml:space="preserve">RH PRAY WATER TEMP   </t>
  </si>
  <si>
    <t xml:space="preserve">H PRAY FLOW L-1   </t>
  </si>
  <si>
    <t xml:space="preserve">H PRAY FLOW-L2   </t>
  </si>
  <si>
    <t xml:space="preserve">H PRAY FLOW R-1   </t>
  </si>
  <si>
    <t xml:space="preserve">H PRAY FLOW R-2   </t>
  </si>
  <si>
    <t xml:space="preserve">TEMP AT H PRAY TAGE-1   </t>
  </si>
  <si>
    <t xml:space="preserve">TMP AT H PY TAGE-II   </t>
  </si>
  <si>
    <t xml:space="preserve">H PRAY TG-1 PREURE   </t>
  </si>
  <si>
    <t xml:space="preserve">P ACRO FR   </t>
  </si>
  <si>
    <t xml:space="preserve">LTH O/L -L TEMP   </t>
  </si>
  <si>
    <t xml:space="preserve">M TO APR FLOW   </t>
  </si>
  <si>
    <t xml:space="preserve">LTH O/L-L TEMP   </t>
  </si>
  <si>
    <t xml:space="preserve">LTH O/L-R TEMP   </t>
  </si>
  <si>
    <t xml:space="preserve">LTH O/L-L PR   </t>
  </si>
  <si>
    <t xml:space="preserve">LTH O/L-R PR   </t>
  </si>
  <si>
    <t xml:space="preserve">H O/L PR   </t>
  </si>
  <si>
    <t xml:space="preserve">H O/L TEMP   </t>
  </si>
  <si>
    <t xml:space="preserve">A AH-A I/L TMP   </t>
  </si>
  <si>
    <t xml:space="preserve">A AH-A O/L TMP   </t>
  </si>
  <si>
    <t xml:space="preserve">A AH-A I/L PR   </t>
  </si>
  <si>
    <t xml:space="preserve">A AH-A O/L PR   </t>
  </si>
  <si>
    <t xml:space="preserve">MAIN TEAM TEMP   </t>
  </si>
  <si>
    <t xml:space="preserve">M PREURE   </t>
  </si>
  <si>
    <t xml:space="preserve">CRH LINE TEAM TEMP   </t>
  </si>
  <si>
    <t xml:space="preserve">CRH PREURE   </t>
  </si>
  <si>
    <t xml:space="preserve">HRH TEMP (LH)   </t>
  </si>
  <si>
    <t xml:space="preserve">HRH TEMP (RH)   </t>
  </si>
  <si>
    <t xml:space="preserve">HRH TEAM PREURE   </t>
  </si>
  <si>
    <t xml:space="preserve">EX-6 TM TMP AT HPH-6 I/L   </t>
  </si>
  <si>
    <t xml:space="preserve">EX-6 TM PR AT HPH-6 I/L   </t>
  </si>
  <si>
    <t>ecription</t>
  </si>
  <si>
    <t xml:space="preserve">HPP-L FLOW   </t>
  </si>
  <si>
    <t xml:space="preserve">HPP-R FLOW   </t>
  </si>
  <si>
    <t xml:space="preserve">AH- I/L TEMP   </t>
  </si>
  <si>
    <t xml:space="preserve">O2 AH- O/L   </t>
  </si>
  <si>
    <t xml:space="preserve">PA FAN- O/L TEMP   </t>
  </si>
  <si>
    <t xml:space="preserve">PA AH- O/L TEMP   </t>
  </si>
  <si>
    <t xml:space="preserve">PA FAN- O/L PR   </t>
  </si>
  <si>
    <t xml:space="preserve">PA H- O/L PR   </t>
  </si>
  <si>
    <t xml:space="preserve">W FURNACE P-1   </t>
  </si>
  <si>
    <t xml:space="preserve">W TO FURNACE P-2   </t>
  </si>
  <si>
    <t xml:space="preserve">A AH- I/L TMP   </t>
  </si>
  <si>
    <t xml:space="preserve">A AH- O/L TMP   </t>
  </si>
  <si>
    <t xml:space="preserve">A AH- I/L PR   </t>
  </si>
  <si>
    <t xml:space="preserve">A AH- O/L PR   </t>
  </si>
  <si>
    <t xml:space="preserve">FG AH- O/L TMP   </t>
  </si>
  <si>
    <t xml:space="preserve">FG AH- I/L PR   </t>
  </si>
  <si>
    <t xml:space="preserve">FG AH- O/L PR   </t>
  </si>
  <si>
    <t xml:space="preserve">F FAN- O/L TMP   </t>
  </si>
  <si>
    <t xml:space="preserve">F FAN- O/L PR   </t>
  </si>
  <si>
    <t xml:space="preserve">CON Vacuum A   </t>
  </si>
  <si>
    <t xml:space="preserve">M INLET TEMP EFORE EV1-LH1   </t>
  </si>
  <si>
    <t xml:space="preserve">M INLET TEMP EFORE EV1-LH2   </t>
  </si>
  <si>
    <t xml:space="preserve">M INLET TEMP EFORE EV2-RH1   </t>
  </si>
  <si>
    <t xml:space="preserve">M INLET TEMP EFORE EV2-RH2   </t>
  </si>
  <si>
    <t xml:space="preserve">M PREURE EFORE EV-LH   </t>
  </si>
  <si>
    <t xml:space="preserve">M PREURE EFORE EV-RH   </t>
  </si>
  <si>
    <t xml:space="preserve">HRH TM PR EF IV2(RH)   </t>
  </si>
  <si>
    <t xml:space="preserve">HRH TM TMP EF TRNR(LH)   </t>
  </si>
  <si>
    <t xml:space="preserve">HRH TM TMP EF TRNR(RH)   </t>
  </si>
  <si>
    <t>7/11/2021   2:05:00PM</t>
  </si>
  <si>
    <t>7/11/2021   4:00:00PM</t>
  </si>
  <si>
    <t>7/24/2021   3:05:00PM</t>
  </si>
  <si>
    <t>7/24/2021   5:00:00PM</t>
  </si>
  <si>
    <t>7/15/2021   3:05:00PM</t>
  </si>
  <si>
    <t>7/15/2021   5:00:00PM</t>
  </si>
  <si>
    <t>7/18/2021   4:35:00PM</t>
  </si>
  <si>
    <t>7/18/2021   6:30:00PM</t>
  </si>
  <si>
    <t>6/14/2021   1:45:00AM</t>
  </si>
  <si>
    <t>6/14/2021   7:45:00AM</t>
  </si>
  <si>
    <t>6/14/2021   8:45:00AM</t>
  </si>
  <si>
    <t>6/14/2021   2:45:00PM</t>
  </si>
  <si>
    <t>6/16/2021   7:00:00AM</t>
  </si>
  <si>
    <t>6/16/2021  11:00:00AM</t>
  </si>
  <si>
    <t>6/16/2021   1:00:00PM</t>
  </si>
  <si>
    <t>6/16/2021   4:00:00PM</t>
  </si>
  <si>
    <t>6/14/2021  12:45:00AM</t>
  </si>
  <si>
    <t>6/16/2021   3:00:00PM</t>
  </si>
  <si>
    <t>8/8/2021   9:05:00AM</t>
  </si>
  <si>
    <t>8/8/2021  11:00:00AM</t>
  </si>
  <si>
    <t>8/5/2021   3:05:00PM</t>
  </si>
  <si>
    <t>8/5/2021   5:00:00PM</t>
  </si>
  <si>
    <t>539.46</t>
  </si>
  <si>
    <t>8/15/2021   3:35:00PM</t>
  </si>
  <si>
    <t>8/15/2021   5:30:00PM</t>
  </si>
  <si>
    <t>8/18/2021   3:05:00AM</t>
  </si>
  <si>
    <t>8/18/2021   4:00:00AM</t>
  </si>
  <si>
    <t>8/7/2021   3:30:00PM</t>
  </si>
  <si>
    <t>8/7/2021   5:30:00PM</t>
  </si>
  <si>
    <t>540.19</t>
  </si>
  <si>
    <t>9/6/2021  12:05:00AM</t>
  </si>
  <si>
    <t>9/6/2021   2:00:00AM</t>
  </si>
  <si>
    <t>9/17/2021   3:00:00PM</t>
  </si>
  <si>
    <t>9/17/2021   3:30:00PM</t>
  </si>
  <si>
    <t>9/17/2021   5:00:00PM</t>
  </si>
  <si>
    <t>9/7/2021   4:00:00PM</t>
  </si>
  <si>
    <t>9/7/2021   6:00:00PM</t>
  </si>
  <si>
    <t>9/17/2021   5:30:00PM</t>
  </si>
  <si>
    <t>10/27/2021   3:00:00PM</t>
  </si>
  <si>
    <t>10/27/2021   5:00:00PM</t>
  </si>
  <si>
    <t>10/1/2021   4:45:00PM</t>
  </si>
  <si>
    <t>10/1/2021   6:45:00PM</t>
  </si>
  <si>
    <t>10/7/2021   4:15:00PM</t>
  </si>
  <si>
    <t>10/7/2021   6:15:00PM</t>
  </si>
  <si>
    <t>12/25/2021   7:00:00PM</t>
  </si>
  <si>
    <t>12/25/2021   9:00:00PM</t>
  </si>
  <si>
    <t>270.96</t>
  </si>
  <si>
    <t>270.87</t>
  </si>
  <si>
    <t>540.14</t>
  </si>
  <si>
    <t>539.37</t>
  </si>
  <si>
    <t>538.35</t>
  </si>
  <si>
    <t>12/20/2021   6:00:00PM</t>
  </si>
  <si>
    <t>12/20/2021   8:00:00PM</t>
  </si>
  <si>
    <t>1.38</t>
  </si>
  <si>
    <t>167.44</t>
  </si>
  <si>
    <t>538.34</t>
  </si>
  <si>
    <t>540.75</t>
  </si>
  <si>
    <t>538.82</t>
  </si>
  <si>
    <t>540.24</t>
  </si>
  <si>
    <t>102.48</t>
  </si>
  <si>
    <t>38.58</t>
  </si>
  <si>
    <t>538.40</t>
  </si>
  <si>
    <t>540.36</t>
  </si>
  <si>
    <t>537.78</t>
  </si>
  <si>
    <t>538.23</t>
  </si>
  <si>
    <t>167.79</t>
  </si>
  <si>
    <t>169.31</t>
  </si>
  <si>
    <t>541.07</t>
  </si>
  <si>
    <t>540.09</t>
  </si>
  <si>
    <t>538.75</t>
  </si>
  <si>
    <t>536.34</t>
  </si>
  <si>
    <t>3/3/2022  11:30:00AM</t>
  </si>
  <si>
    <t>3/3/2022  12:30:00PM</t>
  </si>
  <si>
    <t>17.92</t>
  </si>
  <si>
    <t>168.77</t>
  </si>
  <si>
    <t>169.48</t>
  </si>
  <si>
    <t>169.25</t>
  </si>
  <si>
    <t>168.47</t>
  </si>
  <si>
    <t>172.02</t>
  </si>
  <si>
    <t>407.09</t>
  </si>
  <si>
    <t>-74.54</t>
  </si>
  <si>
    <t>539.97</t>
  </si>
  <si>
    <t>-74.84</t>
  </si>
  <si>
    <t>540.31</t>
  </si>
  <si>
    <t>540.04</t>
  </si>
  <si>
    <t>-74.95</t>
  </si>
  <si>
    <t>539.74</t>
  </si>
  <si>
    <t>539.82</t>
  </si>
  <si>
    <t>540.39</t>
  </si>
  <si>
    <t>540.11</t>
  </si>
  <si>
    <t>2.59</t>
  </si>
  <si>
    <t>540.59</t>
  </si>
  <si>
    <t>540.01</t>
  </si>
  <si>
    <t>540.06</t>
  </si>
  <si>
    <t>539.69</t>
  </si>
  <si>
    <t>538.77</t>
  </si>
  <si>
    <t>539.28</t>
  </si>
  <si>
    <t>538.27</t>
  </si>
  <si>
    <t>538.31</t>
  </si>
  <si>
    <t>30.06</t>
  </si>
  <si>
    <t>102.78</t>
  </si>
  <si>
    <t>104.31</t>
  </si>
  <si>
    <t>103.21</t>
  </si>
  <si>
    <t>38.62</t>
  </si>
  <si>
    <t>37.95</t>
  </si>
  <si>
    <t>38.59</t>
  </si>
  <si>
    <t>86.12</t>
  </si>
  <si>
    <t>86.14</t>
  </si>
  <si>
    <t>86.23</t>
  </si>
  <si>
    <t>269.46</t>
  </si>
  <si>
    <t>257.58</t>
  </si>
  <si>
    <t>270.02</t>
  </si>
  <si>
    <t>104.01</t>
  </si>
  <si>
    <t>302.82</t>
  </si>
  <si>
    <t>38.16</t>
  </si>
  <si>
    <t>538.68</t>
  </si>
  <si>
    <t>32.26</t>
  </si>
  <si>
    <t>271.67</t>
  </si>
  <si>
    <t>150.90</t>
  </si>
  <si>
    <t>540.15</t>
  </si>
  <si>
    <t>540.35</t>
  </si>
  <si>
    <t>540.33</t>
  </si>
  <si>
    <t>540.02</t>
  </si>
  <si>
    <t>539.93</t>
  </si>
  <si>
    <t>540.16</t>
  </si>
  <si>
    <t>540.38</t>
  </si>
  <si>
    <t>539.19</t>
  </si>
  <si>
    <t>538.14</t>
  </si>
  <si>
    <t>537.74</t>
  </si>
  <si>
    <t>539.04</t>
  </si>
  <si>
    <t>538.33</t>
  </si>
  <si>
    <t>169.88</t>
  </si>
  <si>
    <t>538.46</t>
  </si>
  <si>
    <t>538.62</t>
  </si>
  <si>
    <t>538.89</t>
  </si>
  <si>
    <t>540.68</t>
  </si>
  <si>
    <t>146.00</t>
  </si>
  <si>
    <t>144.91</t>
  </si>
  <si>
    <t>145.76</t>
  </si>
  <si>
    <t>539.33</t>
  </si>
  <si>
    <t>31.65</t>
  </si>
  <si>
    <t>539.01</t>
  </si>
  <si>
    <t>538.98</t>
  </si>
  <si>
    <t>539.36</t>
  </si>
  <si>
    <t>145.78</t>
  </si>
  <si>
    <t>538.25</t>
  </si>
  <si>
    <t>538.58</t>
  </si>
  <si>
    <t>540.96</t>
  </si>
  <si>
    <t>539.48</t>
  </si>
  <si>
    <t>539.77</t>
  </si>
  <si>
    <t>7/30/2022   8:05:00PM</t>
  </si>
  <si>
    <t>168.07</t>
  </si>
  <si>
    <t>7/30/2022  10:00:00PM</t>
  </si>
  <si>
    <t>31.13</t>
  </si>
  <si>
    <t>14.95</t>
  </si>
  <si>
    <t>15.09</t>
  </si>
  <si>
    <t>30.03</t>
  </si>
  <si>
    <t>170.35</t>
  </si>
  <si>
    <t>167.90</t>
  </si>
  <si>
    <t>168.94</t>
  </si>
  <si>
    <t>171.47</t>
  </si>
  <si>
    <t>169.58</t>
  </si>
  <si>
    <t>167.38</t>
  </si>
  <si>
    <t>162.27</t>
  </si>
  <si>
    <t>167.26</t>
  </si>
  <si>
    <t>-46.00</t>
  </si>
  <si>
    <t>344.32</t>
  </si>
  <si>
    <t>537.37</t>
  </si>
  <si>
    <t>537.11</t>
  </si>
  <si>
    <t>-46.77</t>
  </si>
  <si>
    <t>150.75</t>
  </si>
  <si>
    <t>542.95</t>
  </si>
  <si>
    <t>540.27</t>
  </si>
  <si>
    <t>-46.15</t>
  </si>
  <si>
    <t>148.82</t>
  </si>
  <si>
    <t>151.10</t>
  </si>
  <si>
    <t>149.42</t>
  </si>
  <si>
    <t>151.29</t>
  </si>
  <si>
    <t>539.23</t>
  </si>
  <si>
    <t>541.59</t>
  </si>
  <si>
    <t>541.78</t>
  </si>
  <si>
    <t>540.62</t>
  </si>
  <si>
    <t>2.50</t>
  </si>
  <si>
    <t>32.96</t>
  </si>
  <si>
    <t>41.42</t>
  </si>
  <si>
    <t>39.93</t>
  </si>
  <si>
    <t>39.90</t>
  </si>
  <si>
    <t>40.18</t>
  </si>
  <si>
    <t>39.86</t>
  </si>
  <si>
    <t>270.16</t>
  </si>
  <si>
    <t>103.77</t>
  </si>
  <si>
    <t>102.03</t>
  </si>
  <si>
    <t>102.31</t>
  </si>
  <si>
    <t>103.73</t>
  </si>
  <si>
    <t>104.15</t>
  </si>
  <si>
    <t>41.37</t>
  </si>
  <si>
    <t>42.41</t>
  </si>
  <si>
    <t>42.73</t>
  </si>
  <si>
    <t>27.31</t>
  </si>
  <si>
    <t>41.52</t>
  </si>
  <si>
    <t>41.35</t>
  </si>
  <si>
    <t>42.65</t>
  </si>
  <si>
    <t>41.43</t>
  </si>
  <si>
    <t>41.27</t>
  </si>
  <si>
    <t>41.36</t>
  </si>
  <si>
    <t>30.02</t>
  </si>
  <si>
    <t>28.56</t>
  </si>
  <si>
    <t>86.36</t>
  </si>
  <si>
    <t>86.05</t>
  </si>
  <si>
    <t>88.86</t>
  </si>
  <si>
    <t>86.48</t>
  </si>
  <si>
    <t>88.06</t>
  </si>
  <si>
    <t>79.27</t>
  </si>
  <si>
    <t>86.19</t>
  </si>
  <si>
    <t>85.80</t>
  </si>
  <si>
    <t>88.47</t>
  </si>
  <si>
    <t>88.55</t>
  </si>
  <si>
    <t>270.13</t>
  </si>
  <si>
    <t>269.61</t>
  </si>
  <si>
    <t>73.08</t>
  </si>
  <si>
    <t>269.27</t>
  </si>
  <si>
    <t>87.18</t>
  </si>
  <si>
    <t>32.79</t>
  </si>
  <si>
    <t>269.65</t>
  </si>
  <si>
    <t>31.09</t>
  </si>
  <si>
    <t>269.08</t>
  </si>
  <si>
    <t>269.76</t>
  </si>
  <si>
    <t>268.95</t>
  </si>
  <si>
    <t>267.71</t>
  </si>
  <si>
    <t>201.67</t>
  </si>
  <si>
    <t>149.72</t>
  </si>
  <si>
    <t>145.93</t>
  </si>
  <si>
    <t>-73.41</t>
  </si>
  <si>
    <t>-73.56</t>
  </si>
  <si>
    <t>38.43</t>
  </si>
  <si>
    <t>40.68</t>
  </si>
  <si>
    <t>36.13</t>
  </si>
  <si>
    <t>35.88</t>
  </si>
  <si>
    <t>38.82</t>
  </si>
  <si>
    <t>36.33</t>
  </si>
  <si>
    <t>38.69</t>
  </si>
  <si>
    <t>36.26</t>
  </si>
  <si>
    <t>38.51</t>
  </si>
  <si>
    <t>36.19</t>
  </si>
  <si>
    <t>36.32</t>
  </si>
  <si>
    <t>536.66</t>
  </si>
  <si>
    <t>147.42</t>
  </si>
  <si>
    <t>147.85</t>
  </si>
  <si>
    <t>537.52</t>
  </si>
  <si>
    <t>541.29</t>
  </si>
  <si>
    <t>37.79</t>
  </si>
  <si>
    <t>147.43</t>
  </si>
  <si>
    <t>542.06</t>
  </si>
  <si>
    <t>538.94</t>
  </si>
  <si>
    <t>148.62</t>
  </si>
  <si>
    <t>148.25</t>
  </si>
  <si>
    <t>344.16</t>
  </si>
  <si>
    <t>540.78</t>
  </si>
  <si>
    <t>541.99</t>
  </si>
  <si>
    <t>536.23</t>
  </si>
  <si>
    <t>169.81</t>
  </si>
  <si>
    <t>201.56</t>
  </si>
  <si>
    <t>536.68</t>
  </si>
  <si>
    <t>540.87</t>
  </si>
  <si>
    <t>538.50</t>
  </si>
  <si>
    <t>538.41</t>
  </si>
  <si>
    <t>541.20</t>
  </si>
  <si>
    <t>538.76</t>
  </si>
  <si>
    <t>541.05</t>
  </si>
  <si>
    <t>540.93</t>
  </si>
  <si>
    <t>539.31</t>
  </si>
  <si>
    <t>539.47</t>
  </si>
  <si>
    <t>540.07</t>
  </si>
  <si>
    <t>42.53</t>
  </si>
  <si>
    <t>539.86</t>
  </si>
  <si>
    <t>144.84</t>
  </si>
  <si>
    <t>538.93</t>
  </si>
  <si>
    <t>538.06</t>
  </si>
  <si>
    <t>541.03</t>
  </si>
  <si>
    <t>536.36</t>
  </si>
  <si>
    <t>538.60</t>
  </si>
  <si>
    <t>144.38</t>
  </si>
  <si>
    <t>536.84</t>
  </si>
  <si>
    <t>541.17</t>
  </si>
  <si>
    <t>541.27</t>
  </si>
  <si>
    <t>537.87</t>
  </si>
  <si>
    <t>537.08</t>
  </si>
  <si>
    <t>536.44</t>
  </si>
  <si>
    <t>147.09</t>
  </si>
  <si>
    <t>147.07</t>
  </si>
  <si>
    <t>538.81</t>
  </si>
  <si>
    <t>541.31</t>
  </si>
  <si>
    <t>537.23</t>
  </si>
  <si>
    <t>536.64</t>
  </si>
  <si>
    <t>540.97</t>
  </si>
  <si>
    <t>7/25/2022   6:00:00PM</t>
  </si>
  <si>
    <t>168.50</t>
  </si>
  <si>
    <t>167.72</t>
  </si>
  <si>
    <t>168.00</t>
  </si>
  <si>
    <t>7/25/2022   8:00:00PM</t>
  </si>
  <si>
    <t>33.30</t>
  </si>
  <si>
    <t>18.02</t>
  </si>
  <si>
    <t>38.67</t>
  </si>
  <si>
    <t>33.68</t>
  </si>
  <si>
    <t>171.78</t>
  </si>
  <si>
    <t>171.12</t>
  </si>
  <si>
    <t>170.82</t>
  </si>
  <si>
    <t>246.84</t>
  </si>
  <si>
    <t>167.71</t>
  </si>
  <si>
    <t>167.63</t>
  </si>
  <si>
    <t>167.65</t>
  </si>
  <si>
    <t>338.17</t>
  </si>
  <si>
    <t>405.78</t>
  </si>
  <si>
    <t>338.69</t>
  </si>
  <si>
    <t>-73.67</t>
  </si>
  <si>
    <t>539.56</t>
  </si>
  <si>
    <t>541.09</t>
  </si>
  <si>
    <t>-72.37</t>
  </si>
  <si>
    <t>164.18</t>
  </si>
  <si>
    <t>541.84</t>
  </si>
  <si>
    <t>-72.85</t>
  </si>
  <si>
    <t>-72.94</t>
  </si>
  <si>
    <t>-73.40</t>
  </si>
  <si>
    <t>540.57</t>
  </si>
  <si>
    <t>2.46</t>
  </si>
  <si>
    <t>2.48</t>
  </si>
  <si>
    <t>541.43</t>
  </si>
  <si>
    <t>2.51</t>
  </si>
  <si>
    <t>2.55</t>
  </si>
  <si>
    <t>542.46</t>
  </si>
  <si>
    <t>542.62</t>
  </si>
  <si>
    <t>2.44</t>
  </si>
  <si>
    <t>543.81</t>
  </si>
  <si>
    <t>2.41</t>
  </si>
  <si>
    <t>2.49</t>
  </si>
  <si>
    <t>2.39</t>
  </si>
  <si>
    <t>2.43</t>
  </si>
  <si>
    <t>2.56</t>
  </si>
  <si>
    <t>540.00</t>
  </si>
  <si>
    <t>41.29</t>
  </si>
  <si>
    <t>296.23</t>
  </si>
  <si>
    <t>963.49</t>
  </si>
  <si>
    <t>963.50</t>
  </si>
  <si>
    <t>956.38</t>
  </si>
  <si>
    <t>961.89</t>
  </si>
  <si>
    <t>964.09</t>
  </si>
  <si>
    <t>86.35</t>
  </si>
  <si>
    <t>86.18</t>
  </si>
  <si>
    <t>86.40</t>
  </si>
  <si>
    <t>43.67</t>
  </si>
  <si>
    <t>42.90</t>
  </si>
  <si>
    <t>86.38</t>
  </si>
  <si>
    <t>88.10</t>
  </si>
  <si>
    <t>87.29</t>
  </si>
  <si>
    <t>86.62</t>
  </si>
  <si>
    <t>87.16</t>
  </si>
  <si>
    <t>86.30</t>
  </si>
  <si>
    <t>85.75</t>
  </si>
  <si>
    <t>86.99</t>
  </si>
  <si>
    <t>271.66</t>
  </si>
  <si>
    <t>73.06</t>
  </si>
  <si>
    <t>73.26</t>
  </si>
  <si>
    <t>272.15</t>
  </si>
  <si>
    <t>32.69</t>
  </si>
  <si>
    <t>257.48</t>
  </si>
  <si>
    <t>33.62</t>
  </si>
  <si>
    <t>32.03</t>
  </si>
  <si>
    <t>33.14</t>
  </si>
  <si>
    <t>258.73</t>
  </si>
  <si>
    <t>146.98</t>
  </si>
  <si>
    <t>33.93</t>
  </si>
  <si>
    <t>-74.63</t>
  </si>
  <si>
    <t>-74.39</t>
  </si>
  <si>
    <t>-256.73</t>
  </si>
  <si>
    <t>-244.74</t>
  </si>
  <si>
    <t>-75.60</t>
  </si>
  <si>
    <t>-244.29</t>
  </si>
  <si>
    <t>-245.07</t>
  </si>
  <si>
    <t>41.28</t>
  </si>
  <si>
    <t>257.92</t>
  </si>
  <si>
    <t>42.88</t>
  </si>
  <si>
    <t>42.94</t>
  </si>
  <si>
    <t>41.32</t>
  </si>
  <si>
    <t>41.25</t>
  </si>
  <si>
    <t>42.85</t>
  </si>
  <si>
    <t>41.34</t>
  </si>
  <si>
    <t>41.15</t>
  </si>
  <si>
    <t>41.51</t>
  </si>
  <si>
    <t>41.26</t>
  </si>
  <si>
    <t xml:space="preserve">MILL-E CURRENT   </t>
  </si>
  <si>
    <t xml:space="preserve">TOTAL PA FLOW   </t>
  </si>
  <si>
    <t>269.07</t>
  </si>
  <si>
    <t>271.77</t>
  </si>
  <si>
    <t>149.68</t>
  </si>
  <si>
    <t>267.93</t>
  </si>
  <si>
    <t>540.61</t>
  </si>
  <si>
    <t>36.01</t>
  </si>
  <si>
    <t>0.1072</t>
  </si>
  <si>
    <t>344.92</t>
  </si>
  <si>
    <t>542.91</t>
  </si>
  <si>
    <t>344.37</t>
  </si>
  <si>
    <t>35.96</t>
  </si>
  <si>
    <t>542.73</t>
  </si>
  <si>
    <t>542.78</t>
  </si>
  <si>
    <t>344.82</t>
  </si>
  <si>
    <t>539.38</t>
  </si>
  <si>
    <t>213.88</t>
  </si>
  <si>
    <t>343.75</t>
  </si>
  <si>
    <t>206.96</t>
  </si>
  <si>
    <t>45.18</t>
  </si>
  <si>
    <t>44.97</t>
  </si>
  <si>
    <t>538.51</t>
  </si>
  <si>
    <t>538.63</t>
  </si>
  <si>
    <t>539.35</t>
  </si>
  <si>
    <t>537.31</t>
  </si>
  <si>
    <t>149.17</t>
  </si>
  <si>
    <t>539.39</t>
  </si>
  <si>
    <t>148.35</t>
  </si>
  <si>
    <t>148.24</t>
  </si>
  <si>
    <t>539.58</t>
  </si>
  <si>
    <t>148.36</t>
  </si>
  <si>
    <t>148.13</t>
  </si>
  <si>
    <t>541.40</t>
  </si>
  <si>
    <t>541.41</t>
  </si>
  <si>
    <t>540.43</t>
  </si>
  <si>
    <t>542.97</t>
  </si>
  <si>
    <t>148.30</t>
  </si>
  <si>
    <t>541.89</t>
  </si>
  <si>
    <t>536.58</t>
  </si>
  <si>
    <t>148.00</t>
  </si>
  <si>
    <t>148.08</t>
  </si>
  <si>
    <t>536.78</t>
  </si>
  <si>
    <t>149.50</t>
  </si>
  <si>
    <t>149.93</t>
  </si>
  <si>
    <t>149.70</t>
  </si>
  <si>
    <t>542.94</t>
  </si>
  <si>
    <t>149.91</t>
  </si>
  <si>
    <t>538.13</t>
  </si>
  <si>
    <t>542.28</t>
  </si>
  <si>
    <t>542.81</t>
  </si>
  <si>
    <t>542.30</t>
  </si>
  <si>
    <t>541.62</t>
  </si>
  <si>
    <t xml:space="preserve">2HFE30CT001_XQ03.OUT.AVERAGE              PA  AH-A O/L TEMP   </t>
  </si>
  <si>
    <t xml:space="preserve">UNIT LOA      </t>
  </si>
  <si>
    <t xml:space="preserve">2PAFlowMILLTx1.OUT.AVERAGE               PA FLOW MILL-   </t>
  </si>
  <si>
    <t xml:space="preserve">TOTAL EC AIR FLOW   </t>
  </si>
  <si>
    <t>OILER-2 PG TET PART1</t>
  </si>
  <si>
    <t xml:space="preserve">2LA60CT002_XQ02.OUT.AVERAGE              HPH OUTLET HR TEMP   </t>
  </si>
  <si>
    <t xml:space="preserve">2HK60CP001_XQ01.OUT.AVERAGE              LTH O/L-L PR   </t>
  </si>
  <si>
    <t xml:space="preserve">2HHL20CT001_XQ03.OUT.AVERAGE              A AH- O/L TMP   </t>
  </si>
  <si>
    <t xml:space="preserve">2HFC02CE001_XQ01.OUT.AVERAGE              MILL- CURRENT   </t>
  </si>
  <si>
    <t xml:space="preserve">2LA50CP001_XQ01.out.average              HPH-5 O/L FeeWater Pr.   </t>
  </si>
  <si>
    <t xml:space="preserve">2L20CT001AXQ10.out.average              HRH TM TMP EF TRNR(RH)   </t>
  </si>
  <si>
    <t>.</t>
  </si>
  <si>
    <t>7/26/2022  10:00:00PM</t>
  </si>
  <si>
    <t>7/26/2022  10:05:00PM</t>
  </si>
  <si>
    <t>7/26/2022  10:10:00PM</t>
  </si>
  <si>
    <t>7/26/2022  10:15:00PM</t>
  </si>
  <si>
    <t>7/26/2022  10:20:00PM</t>
  </si>
  <si>
    <t>7/26/2022  10:25:00PM</t>
  </si>
  <si>
    <t>7/26/2022  10:30:00PM</t>
  </si>
  <si>
    <t>7/26/2022  10:35:00PM</t>
  </si>
  <si>
    <t>7/26/2022  10:40:00PM</t>
  </si>
  <si>
    <t>7/26/2022  10:45:00PM</t>
  </si>
  <si>
    <t>7/26/2022  10:50:00PM</t>
  </si>
  <si>
    <t>165.44</t>
  </si>
  <si>
    <t>7/26/2022  10:55:00PM</t>
  </si>
  <si>
    <t>7/26/2022  11:00:00PM</t>
  </si>
  <si>
    <t>167.37</t>
  </si>
  <si>
    <t>7/26/2022  11:05:00PM</t>
  </si>
  <si>
    <t>7/26/2022  11:10:00PM</t>
  </si>
  <si>
    <t>7/26/2022  11:15:00PM</t>
  </si>
  <si>
    <t>167.02</t>
  </si>
  <si>
    <t>7/26/2022  11:20:00PM</t>
  </si>
  <si>
    <t>7/26/2022  11:25:00PM</t>
  </si>
  <si>
    <t>7/26/2022  11:30:00PM</t>
  </si>
  <si>
    <t>7/26/2022  11:35:00PM</t>
  </si>
  <si>
    <t>7/26/2022  11:40:00PM</t>
  </si>
  <si>
    <t>7/26/2022  11:45:00PM</t>
  </si>
  <si>
    <t>7/26/2022  11:50:00PM</t>
  </si>
  <si>
    <t>7/26/2022  11:55:00PM</t>
  </si>
  <si>
    <t>7/27/2022  12:00:00AM</t>
  </si>
  <si>
    <t>33.07</t>
  </si>
  <si>
    <t>16.71</t>
  </si>
  <si>
    <t>17.61</t>
  </si>
  <si>
    <t>246.939529</t>
  </si>
  <si>
    <t>37.02</t>
  </si>
  <si>
    <t>14.83</t>
  </si>
  <si>
    <t>33.02</t>
  </si>
  <si>
    <t>247.056250</t>
  </si>
  <si>
    <t>32.57</t>
  </si>
  <si>
    <t>14.61</t>
  </si>
  <si>
    <t>17.86</t>
  </si>
  <si>
    <t>247.568558</t>
  </si>
  <si>
    <t>30.76</t>
  </si>
  <si>
    <t>15.61</t>
  </si>
  <si>
    <t>30.48</t>
  </si>
  <si>
    <t>17.78</t>
  </si>
  <si>
    <t>247.262159</t>
  </si>
  <si>
    <t>15.51</t>
  </si>
  <si>
    <t>247.029404</t>
  </si>
  <si>
    <t>15.39</t>
  </si>
  <si>
    <t>35.18</t>
  </si>
  <si>
    <t>14.77</t>
  </si>
  <si>
    <t>33.78</t>
  </si>
  <si>
    <t>14.99</t>
  </si>
  <si>
    <t>31.71</t>
  </si>
  <si>
    <t>34.75</t>
  </si>
  <si>
    <t>15.85</t>
  </si>
  <si>
    <t>34.41</t>
  </si>
  <si>
    <t>33.54</t>
  </si>
  <si>
    <t>34.98</t>
  </si>
  <si>
    <t>14.88</t>
  </si>
  <si>
    <t>33.43</t>
  </si>
  <si>
    <t>35.53</t>
  </si>
  <si>
    <t>15.71</t>
  </si>
  <si>
    <t>34.48</t>
  </si>
  <si>
    <t>36.02</t>
  </si>
  <si>
    <t>34.50</t>
  </si>
  <si>
    <t>33.37</t>
  </si>
  <si>
    <t>18.01</t>
  </si>
  <si>
    <t>247.298965</t>
  </si>
  <si>
    <t>31.66</t>
  </si>
  <si>
    <t>34.62</t>
  </si>
  <si>
    <t>15.96</t>
  </si>
  <si>
    <t>33.08</t>
  </si>
  <si>
    <t>15.40</t>
  </si>
  <si>
    <t>31.05</t>
  </si>
  <si>
    <t>33.27</t>
  </si>
  <si>
    <t>15.72</t>
  </si>
  <si>
    <t>31.04</t>
  </si>
  <si>
    <t>16.39</t>
  </si>
  <si>
    <t>33.05</t>
  </si>
  <si>
    <t>34.77</t>
  </si>
  <si>
    <t>15.29</t>
  </si>
  <si>
    <t>32.54</t>
  </si>
  <si>
    <t>15.87</t>
  </si>
  <si>
    <t>30.86</t>
  </si>
  <si>
    <t>16.41</t>
  </si>
  <si>
    <t>31.01</t>
  </si>
  <si>
    <t>34.45</t>
  </si>
  <si>
    <t>16.24</t>
  </si>
  <si>
    <t>31.20</t>
  </si>
  <si>
    <t>33.69</t>
  </si>
  <si>
    <t>15.95</t>
  </si>
  <si>
    <t>30.98</t>
  </si>
  <si>
    <t>34.01</t>
  </si>
  <si>
    <t>247.10</t>
  </si>
  <si>
    <t>246.73</t>
  </si>
  <si>
    <t>250.17</t>
  </si>
  <si>
    <t>1.36</t>
  </si>
  <si>
    <t>169.38</t>
  </si>
  <si>
    <t>247.33</t>
  </si>
  <si>
    <t>246.95</t>
  </si>
  <si>
    <t>170.50</t>
  </si>
  <si>
    <t>250.08</t>
  </si>
  <si>
    <t>1.24</t>
  </si>
  <si>
    <t>247.76</t>
  </si>
  <si>
    <t>247.36</t>
  </si>
  <si>
    <t>170.63</t>
  </si>
  <si>
    <t>168.22</t>
  </si>
  <si>
    <t>247.50</t>
  </si>
  <si>
    <t>247.11</t>
  </si>
  <si>
    <t>169.27</t>
  </si>
  <si>
    <t>247.24</t>
  </si>
  <si>
    <t>168.27</t>
  </si>
  <si>
    <t>166.82</t>
  </si>
  <si>
    <t>167.85</t>
  </si>
  <si>
    <t>168.98</t>
  </si>
  <si>
    <t>167.62</t>
  </si>
  <si>
    <t>168.76</t>
  </si>
  <si>
    <t>169.06</t>
  </si>
  <si>
    <t>170.19</t>
  </si>
  <si>
    <t>247.54</t>
  </si>
  <si>
    <t>247.17</t>
  </si>
  <si>
    <t>170.59</t>
  </si>
  <si>
    <t>250.49</t>
  </si>
  <si>
    <t>1.27</t>
  </si>
  <si>
    <t>169.08</t>
  </si>
  <si>
    <t>170.18</t>
  </si>
  <si>
    <t>168.96</t>
  </si>
  <si>
    <t>170.05</t>
  </si>
  <si>
    <t>168.79</t>
  </si>
  <si>
    <t>169.14</t>
  </si>
  <si>
    <t>168.18</t>
  </si>
  <si>
    <t>169.26</t>
  </si>
  <si>
    <t>169.47</t>
  </si>
  <si>
    <t>169.97</t>
  </si>
  <si>
    <t>169.55</t>
  </si>
  <si>
    <t>170.66</t>
  </si>
  <si>
    <t>168.78</t>
  </si>
  <si>
    <t>169.93</t>
  </si>
  <si>
    <t>165.67</t>
  </si>
  <si>
    <t>301.68</t>
  </si>
  <si>
    <t>301.64</t>
  </si>
  <si>
    <t>404.280640</t>
  </si>
  <si>
    <t>1.26</t>
  </si>
  <si>
    <t>302.49</t>
  </si>
  <si>
    <t>302.35</t>
  </si>
  <si>
    <t>404.627472</t>
  </si>
  <si>
    <t>302.36</t>
  </si>
  <si>
    <t>166.36</t>
  </si>
  <si>
    <t>301.96</t>
  </si>
  <si>
    <t>301.88</t>
  </si>
  <si>
    <t>302.20</t>
  </si>
  <si>
    <t>302.10</t>
  </si>
  <si>
    <t>405.147644</t>
  </si>
  <si>
    <t>165.05</t>
  </si>
  <si>
    <t>166.08</t>
  </si>
  <si>
    <t>302.98</t>
  </si>
  <si>
    <t>302.90</t>
  </si>
  <si>
    <t>166.04</t>
  </si>
  <si>
    <t>302.73</t>
  </si>
  <si>
    <t>302.70</t>
  </si>
  <si>
    <t>165.89</t>
  </si>
  <si>
    <t>302.44</t>
  </si>
  <si>
    <t>302.40</t>
  </si>
  <si>
    <t>302.96</t>
  </si>
  <si>
    <t>165.65</t>
  </si>
  <si>
    <t>405.667786</t>
  </si>
  <si>
    <t>165.93</t>
  </si>
  <si>
    <t>167.34</t>
  </si>
  <si>
    <t>1.28</t>
  </si>
  <si>
    <t>303.14</t>
  </si>
  <si>
    <t>303.24</t>
  </si>
  <si>
    <t>405.971161</t>
  </si>
  <si>
    <t>167.32</t>
  </si>
  <si>
    <t>302.62</t>
  </si>
  <si>
    <t>167.20</t>
  </si>
  <si>
    <t>302.67</t>
  </si>
  <si>
    <t>405.451080</t>
  </si>
  <si>
    <t>166.27</t>
  </si>
  <si>
    <t>166.44</t>
  </si>
  <si>
    <t>302.74</t>
  </si>
  <si>
    <t>303.15</t>
  </si>
  <si>
    <t>168.15</t>
  </si>
  <si>
    <t>167.73</t>
  </si>
  <si>
    <t>166.93</t>
  </si>
  <si>
    <t>404.06</t>
  </si>
  <si>
    <t>407.67</t>
  </si>
  <si>
    <t>354.36</t>
  </si>
  <si>
    <t>337.90</t>
  </si>
  <si>
    <t>-46.10</t>
  </si>
  <si>
    <t>404.63</t>
  </si>
  <si>
    <t>408.18</t>
  </si>
  <si>
    <t>354.80</t>
  </si>
  <si>
    <t>-46.27</t>
  </si>
  <si>
    <t>-45.80</t>
  </si>
  <si>
    <t>-46.16</t>
  </si>
  <si>
    <t>404.73</t>
  </si>
  <si>
    <t>-45.95</t>
  </si>
  <si>
    <t>405.15</t>
  </si>
  <si>
    <t>354.81</t>
  </si>
  <si>
    <t>-45.67</t>
  </si>
  <si>
    <t>355.36</t>
  </si>
  <si>
    <t>-45.84</t>
  </si>
  <si>
    <t>408.40</t>
  </si>
  <si>
    <t>-45.78</t>
  </si>
  <si>
    <t>408.70</t>
  </si>
  <si>
    <t>-45.81</t>
  </si>
  <si>
    <t>405.57</t>
  </si>
  <si>
    <t>-45.94</t>
  </si>
  <si>
    <t>405.67</t>
  </si>
  <si>
    <t>408.93</t>
  </si>
  <si>
    <t>355.75</t>
  </si>
  <si>
    <t>338.32</t>
  </si>
  <si>
    <t>-45.87</t>
  </si>
  <si>
    <t>405.97</t>
  </si>
  <si>
    <t>409.26</t>
  </si>
  <si>
    <t>355.93</t>
  </si>
  <si>
    <t>-46.07</t>
  </si>
  <si>
    <t>408.92</t>
  </si>
  <si>
    <t>-46.25</t>
  </si>
  <si>
    <t>408.74</t>
  </si>
  <si>
    <t>-46.95</t>
  </si>
  <si>
    <t>405.52</t>
  </si>
  <si>
    <t>355.84</t>
  </si>
  <si>
    <t>-47.08</t>
  </si>
  <si>
    <t>405.45</t>
  </si>
  <si>
    <t>355.41</t>
  </si>
  <si>
    <t>-46.85</t>
  </si>
  <si>
    <t>-46.80</t>
  </si>
  <si>
    <t>-46.35</t>
  </si>
  <si>
    <t>-46.24</t>
  </si>
  <si>
    <t>-46.50</t>
  </si>
  <si>
    <t>-46.66</t>
  </si>
  <si>
    <t>-50.73</t>
  </si>
  <si>
    <t>-72.31</t>
  </si>
  <si>
    <t>-73.21</t>
  </si>
  <si>
    <t>162.40</t>
  </si>
  <si>
    <t>149.06</t>
  </si>
  <si>
    <t>543.26</t>
  </si>
  <si>
    <t>-51.45</t>
  </si>
  <si>
    <t>-72.54</t>
  </si>
  <si>
    <t>164.49</t>
  </si>
  <si>
    <t>151.21</t>
  </si>
  <si>
    <t>-50.96</t>
  </si>
  <si>
    <t>-72.09</t>
  </si>
  <si>
    <t>-72.96</t>
  </si>
  <si>
    <t>164.53</t>
  </si>
  <si>
    <t>-52.00</t>
  </si>
  <si>
    <t>-72.61</t>
  </si>
  <si>
    <t>163.19</t>
  </si>
  <si>
    <t>-54.08</t>
  </si>
  <si>
    <t>-72.47</t>
  </si>
  <si>
    <t>-54.96</t>
  </si>
  <si>
    <t>-73.72</t>
  </si>
  <si>
    <t>161.89</t>
  </si>
  <si>
    <t>-53.19</t>
  </si>
  <si>
    <t>-72.67</t>
  </si>
  <si>
    <t>-73.81</t>
  </si>
  <si>
    <t>162.94</t>
  </si>
  <si>
    <t>149.69</t>
  </si>
  <si>
    <t>-52.01</t>
  </si>
  <si>
    <t>-72.38</t>
  </si>
  <si>
    <t>162.89</t>
  </si>
  <si>
    <t>-53.39</t>
  </si>
  <si>
    <t>-73.62</t>
  </si>
  <si>
    <t>162.75</t>
  </si>
  <si>
    <t>149.35</t>
  </si>
  <si>
    <t>-54.91</t>
  </si>
  <si>
    <t>-72.48</t>
  </si>
  <si>
    <t>-73.64</t>
  </si>
  <si>
    <t>-51.91</t>
  </si>
  <si>
    <t>-72.52</t>
  </si>
  <si>
    <t>162.50</t>
  </si>
  <si>
    <t>149.18</t>
  </si>
  <si>
    <t>-51.58</t>
  </si>
  <si>
    <t>-72.29</t>
  </si>
  <si>
    <t>-73.42</t>
  </si>
  <si>
    <t>162.78</t>
  </si>
  <si>
    <t>149.53</t>
  </si>
  <si>
    <t>-53.42</t>
  </si>
  <si>
    <t>-72.51</t>
  </si>
  <si>
    <t>-73.76</t>
  </si>
  <si>
    <t>-51.54</t>
  </si>
  <si>
    <t>-72.62</t>
  </si>
  <si>
    <t>-73.75</t>
  </si>
  <si>
    <t>164.54</t>
  </si>
  <si>
    <t>151.30</t>
  </si>
  <si>
    <t>-50.13</t>
  </si>
  <si>
    <t>164.12</t>
  </si>
  <si>
    <t>150.82</t>
  </si>
  <si>
    <t>-48.38</t>
  </si>
  <si>
    <t>-73.22</t>
  </si>
  <si>
    <t>-74.16</t>
  </si>
  <si>
    <t>164.03</t>
  </si>
  <si>
    <t>-49.69</t>
  </si>
  <si>
    <t>-73.30</t>
  </si>
  <si>
    <t>-74.17</t>
  </si>
  <si>
    <t>163.84</t>
  </si>
  <si>
    <t>150.56</t>
  </si>
  <si>
    <t>539.41</t>
  </si>
  <si>
    <t>-50.34</t>
  </si>
  <si>
    <t>-73.95</t>
  </si>
  <si>
    <t>163.05</t>
  </si>
  <si>
    <t>149.83</t>
  </si>
  <si>
    <t>-50.74</t>
  </si>
  <si>
    <t>-73.19</t>
  </si>
  <si>
    <t>163.27</t>
  </si>
  <si>
    <t>150.07</t>
  </si>
  <si>
    <t>540.95</t>
  </si>
  <si>
    <t>-50.36</t>
  </si>
  <si>
    <t>-73.08</t>
  </si>
  <si>
    <t>164.28</t>
  </si>
  <si>
    <t>151.07</t>
  </si>
  <si>
    <t>-50.07</t>
  </si>
  <si>
    <t>-72.72</t>
  </si>
  <si>
    <t>539.70</t>
  </si>
  <si>
    <t>-50.03</t>
  </si>
  <si>
    <t>-73.00</t>
  </si>
  <si>
    <t>-50.97</t>
  </si>
  <si>
    <t>-73.37</t>
  </si>
  <si>
    <t>164.70</t>
  </si>
  <si>
    <t>151.51</t>
  </si>
  <si>
    <t>-51.57</t>
  </si>
  <si>
    <t>-73.05</t>
  </si>
  <si>
    <t>-50.56</t>
  </si>
  <si>
    <t>-72.53</t>
  </si>
  <si>
    <t>-72.88</t>
  </si>
  <si>
    <t>163.80</t>
  </si>
  <si>
    <t>150.64</t>
  </si>
  <si>
    <t>35.92</t>
  </si>
  <si>
    <t>542.58</t>
  </si>
  <si>
    <t>2.57</t>
  </si>
  <si>
    <t>36.14</t>
  </si>
  <si>
    <t>543.36</t>
  </si>
  <si>
    <t>543.38</t>
  </si>
  <si>
    <t>541.11</t>
  </si>
  <si>
    <t>2.54</t>
  </si>
  <si>
    <t>541.85</t>
  </si>
  <si>
    <t>2.65</t>
  </si>
  <si>
    <t>2.52</t>
  </si>
  <si>
    <t>542.70</t>
  </si>
  <si>
    <t>2.61</t>
  </si>
  <si>
    <t>2.45</t>
  </si>
  <si>
    <t>541.75</t>
  </si>
  <si>
    <t>2.64</t>
  </si>
  <si>
    <t>542.98</t>
  </si>
  <si>
    <t>2.67</t>
  </si>
  <si>
    <t>543.27</t>
  </si>
  <si>
    <t>543.28</t>
  </si>
  <si>
    <t>2.69</t>
  </si>
  <si>
    <t>543.11</t>
  </si>
  <si>
    <t>543.15</t>
  </si>
  <si>
    <t>2.63</t>
  </si>
  <si>
    <t>543.93</t>
  </si>
  <si>
    <t>544.49</t>
  </si>
  <si>
    <t>544.25</t>
  </si>
  <si>
    <t>542.71</t>
  </si>
  <si>
    <t>2.60</t>
  </si>
  <si>
    <t>541.86</t>
  </si>
  <si>
    <t>541.83</t>
  </si>
  <si>
    <t>2.53</t>
  </si>
  <si>
    <t>542.83</t>
  </si>
  <si>
    <t>542.42</t>
  </si>
  <si>
    <t>542.05</t>
  </si>
  <si>
    <t>542.07</t>
  </si>
  <si>
    <t>541.72</t>
  </si>
  <si>
    <t>2.66</t>
  </si>
  <si>
    <t>5.99</t>
  </si>
  <si>
    <t>40.45</t>
  </si>
  <si>
    <t>39.69</t>
  </si>
  <si>
    <t>296.14</t>
  </si>
  <si>
    <t>288.31</t>
  </si>
  <si>
    <t>957.11</t>
  </si>
  <si>
    <t>6.01</t>
  </si>
  <si>
    <t>39.38</t>
  </si>
  <si>
    <t>288.36</t>
  </si>
  <si>
    <t>956.08</t>
  </si>
  <si>
    <t>956.07</t>
  </si>
  <si>
    <t>957.46</t>
  </si>
  <si>
    <t>956.82</t>
  </si>
  <si>
    <t>958.65</t>
  </si>
  <si>
    <t>288.89</t>
  </si>
  <si>
    <t>955.69</t>
  </si>
  <si>
    <t>956.78</t>
  </si>
  <si>
    <t>39.08</t>
  </si>
  <si>
    <t>296.29</t>
  </si>
  <si>
    <t>956.76</t>
  </si>
  <si>
    <t>38.86</t>
  </si>
  <si>
    <t>296.76</t>
  </si>
  <si>
    <t>289.17</t>
  </si>
  <si>
    <t>956.27</t>
  </si>
  <si>
    <t>289.43</t>
  </si>
  <si>
    <t>956.42</t>
  </si>
  <si>
    <t>956.69</t>
  </si>
  <si>
    <t>956.97</t>
  </si>
  <si>
    <t>6.14</t>
  </si>
  <si>
    <t>39.79</t>
  </si>
  <si>
    <t>38.89</t>
  </si>
  <si>
    <t>297.07</t>
  </si>
  <si>
    <t>289.52</t>
  </si>
  <si>
    <t>956.49</t>
  </si>
  <si>
    <t>955.38</t>
  </si>
  <si>
    <t>954.60</t>
  </si>
  <si>
    <t>289.32</t>
  </si>
  <si>
    <t>954.62</t>
  </si>
  <si>
    <t>288.98</t>
  </si>
  <si>
    <t>956.98</t>
  </si>
  <si>
    <t>956.00</t>
  </si>
  <si>
    <t>957.50</t>
  </si>
  <si>
    <t>38.99</t>
  </si>
  <si>
    <t>956.73</t>
  </si>
  <si>
    <t>39.41</t>
  </si>
  <si>
    <t>955.89</t>
  </si>
  <si>
    <t>953.69</t>
  </si>
  <si>
    <t>952.53</t>
  </si>
  <si>
    <t>964.66</t>
  </si>
  <si>
    <t>811.83</t>
  </si>
  <si>
    <t>828.39</t>
  </si>
  <si>
    <t>103.87</t>
  </si>
  <si>
    <t>101.69</t>
  </si>
  <si>
    <t>201.57</t>
  </si>
  <si>
    <t>963.64</t>
  </si>
  <si>
    <t>810.88</t>
  </si>
  <si>
    <t>827.36</t>
  </si>
  <si>
    <t>101.38</t>
  </si>
  <si>
    <t>963.57</t>
  </si>
  <si>
    <t>810.96</t>
  </si>
  <si>
    <t>827.54</t>
  </si>
  <si>
    <t>103.34</t>
  </si>
  <si>
    <t>101.21</t>
  </si>
  <si>
    <t>201.66</t>
  </si>
  <si>
    <t>965.05</t>
  </si>
  <si>
    <t>812.13</t>
  </si>
  <si>
    <t>828.64</t>
  </si>
  <si>
    <t>101.70</t>
  </si>
  <si>
    <t>201.65</t>
  </si>
  <si>
    <t>964.15</t>
  </si>
  <si>
    <t>811.53</t>
  </si>
  <si>
    <t>828.14</t>
  </si>
  <si>
    <t>103.86</t>
  </si>
  <si>
    <t>101.72</t>
  </si>
  <si>
    <t>201.60</t>
  </si>
  <si>
    <t>965.95</t>
  </si>
  <si>
    <t>813.33</t>
  </si>
  <si>
    <t>829.77</t>
  </si>
  <si>
    <t>101.98</t>
  </si>
  <si>
    <t>201.69</t>
  </si>
  <si>
    <t>963.02</t>
  </si>
  <si>
    <t>810.72</t>
  </si>
  <si>
    <t>827.24</t>
  </si>
  <si>
    <t>104.02</t>
  </si>
  <si>
    <t>101.71</t>
  </si>
  <si>
    <t>201.62</t>
  </si>
  <si>
    <t>963.83</t>
  </si>
  <si>
    <t>811.68</t>
  </si>
  <si>
    <t>828.29</t>
  </si>
  <si>
    <t>104.24</t>
  </si>
  <si>
    <t>101.75</t>
  </si>
  <si>
    <t>201.61</t>
  </si>
  <si>
    <t>963.99</t>
  </si>
  <si>
    <t>811.70</t>
  </si>
  <si>
    <t>828.22</t>
  </si>
  <si>
    <t>101.90</t>
  </si>
  <si>
    <t>963.38</t>
  </si>
  <si>
    <t>811.39</t>
  </si>
  <si>
    <t>827.75</t>
  </si>
  <si>
    <t>104.19</t>
  </si>
  <si>
    <t>101.93</t>
  </si>
  <si>
    <t>963.47</t>
  </si>
  <si>
    <t>811.58</t>
  </si>
  <si>
    <t>827.99</t>
  </si>
  <si>
    <t>104.29</t>
  </si>
  <si>
    <t>102.06</t>
  </si>
  <si>
    <t>963.86</t>
  </si>
  <si>
    <t>812.00</t>
  </si>
  <si>
    <t>828.36</t>
  </si>
  <si>
    <t>104.09</t>
  </si>
  <si>
    <t>201.55</t>
  </si>
  <si>
    <t>812.11</t>
  </si>
  <si>
    <t>828.34</t>
  </si>
  <si>
    <t>103.97</t>
  </si>
  <si>
    <t>102.05</t>
  </si>
  <si>
    <t>201.51</t>
  </si>
  <si>
    <t>963.51</t>
  </si>
  <si>
    <t>811.54</t>
  </si>
  <si>
    <t>103.90</t>
  </si>
  <si>
    <t>102.24</t>
  </si>
  <si>
    <t>201.47</t>
  </si>
  <si>
    <t>962.49</t>
  </si>
  <si>
    <t>810.65</t>
  </si>
  <si>
    <t>827.15</t>
  </si>
  <si>
    <t>103.93</t>
  </si>
  <si>
    <t>102.25</t>
  </si>
  <si>
    <t>201.72</t>
  </si>
  <si>
    <t>961.71</t>
  </si>
  <si>
    <t>809.54</t>
  </si>
  <si>
    <t>826.03</t>
  </si>
  <si>
    <t>104.05</t>
  </si>
  <si>
    <t>809.37</t>
  </si>
  <si>
    <t>825.91</t>
  </si>
  <si>
    <t>102.57</t>
  </si>
  <si>
    <t>201.63</t>
  </si>
  <si>
    <t>963.63</t>
  </si>
  <si>
    <t>810.79</t>
  </si>
  <si>
    <t>827.44</t>
  </si>
  <si>
    <t>104.17</t>
  </si>
  <si>
    <t>964.42</t>
  </si>
  <si>
    <t>811.34</t>
  </si>
  <si>
    <t>828.17</t>
  </si>
  <si>
    <t>102.84</t>
  </si>
  <si>
    <t>810.57</t>
  </si>
  <si>
    <t>827.27</t>
  </si>
  <si>
    <t>103.35</t>
  </si>
  <si>
    <t>102.66</t>
  </si>
  <si>
    <t>965.01</t>
  </si>
  <si>
    <t>812.33</t>
  </si>
  <si>
    <t>829.15</t>
  </si>
  <si>
    <t>103.32</t>
  </si>
  <si>
    <t>201.76</t>
  </si>
  <si>
    <t>964.25</t>
  </si>
  <si>
    <t>811.55</t>
  </si>
  <si>
    <t>828.51</t>
  </si>
  <si>
    <t>103.46</t>
  </si>
  <si>
    <t>102.20</t>
  </si>
  <si>
    <t>201.49</t>
  </si>
  <si>
    <t>810.70</t>
  </si>
  <si>
    <t>827.63</t>
  </si>
  <si>
    <t>103.43</t>
  </si>
  <si>
    <t>102.16</t>
  </si>
  <si>
    <t>201.38</t>
  </si>
  <si>
    <t>961.29</t>
  </si>
  <si>
    <t>808.99</t>
  </si>
  <si>
    <t>826.02</t>
  </si>
  <si>
    <t>103.48</t>
  </si>
  <si>
    <t>199.00</t>
  </si>
  <si>
    <t>960.19</t>
  </si>
  <si>
    <t>809.16</t>
  </si>
  <si>
    <t>826.36</t>
  </si>
  <si>
    <t>103.70</t>
  </si>
  <si>
    <t>101.83</t>
  </si>
  <si>
    <t>196.49</t>
  </si>
  <si>
    <t>42.92</t>
  </si>
  <si>
    <t>43.52</t>
  </si>
  <si>
    <t>42.52</t>
  </si>
  <si>
    <t>42.51</t>
  </si>
  <si>
    <t>76.99</t>
  </si>
  <si>
    <t>42.76</t>
  </si>
  <si>
    <t>42.34</t>
  </si>
  <si>
    <t>42.61</t>
  </si>
  <si>
    <t>30.26</t>
  </si>
  <si>
    <t>76.89</t>
  </si>
  <si>
    <t>77.05</t>
  </si>
  <si>
    <t>77.06</t>
  </si>
  <si>
    <t>30.19</t>
  </si>
  <si>
    <t>76.93</t>
  </si>
  <si>
    <t>30.25</t>
  </si>
  <si>
    <t>76.67</t>
  </si>
  <si>
    <t>76.86</t>
  </si>
  <si>
    <t>77.09</t>
  </si>
  <si>
    <t>76.72</t>
  </si>
  <si>
    <t>76.63</t>
  </si>
  <si>
    <t>42.35</t>
  </si>
  <si>
    <t>76.82</t>
  </si>
  <si>
    <t>43.63</t>
  </si>
  <si>
    <t>42.42</t>
  </si>
  <si>
    <t>42.69</t>
  </si>
  <si>
    <t>42.60</t>
  </si>
  <si>
    <t>77.35</t>
  </si>
  <si>
    <t>77.89</t>
  </si>
  <si>
    <t>42.66</t>
  </si>
  <si>
    <t>77.92</t>
  </si>
  <si>
    <t>77.80</t>
  </si>
  <si>
    <t>77.71</t>
  </si>
  <si>
    <t>76.74</t>
  </si>
  <si>
    <t>42.43</t>
  </si>
  <si>
    <t>76.81</t>
  </si>
  <si>
    <t>41.40</t>
  </si>
  <si>
    <t>43.57</t>
  </si>
  <si>
    <t>40.27</t>
  </si>
  <si>
    <t>76.69</t>
  </si>
  <si>
    <t>76.88</t>
  </si>
  <si>
    <t>91.14</t>
  </si>
  <si>
    <t>79.91</t>
  </si>
  <si>
    <t>79.46</t>
  </si>
  <si>
    <t>85.57</t>
  </si>
  <si>
    <t>76.75</t>
  </si>
  <si>
    <t>90.63</t>
  </si>
  <si>
    <t>79.90</t>
  </si>
  <si>
    <t>79.35</t>
  </si>
  <si>
    <t>85.68</t>
  </si>
  <si>
    <t>76.80</t>
  </si>
  <si>
    <t>90.99</t>
  </si>
  <si>
    <t>79.82</t>
  </si>
  <si>
    <t>79.15</t>
  </si>
  <si>
    <t>85.66</t>
  </si>
  <si>
    <t>76.91</t>
  </si>
  <si>
    <t>91.00</t>
  </si>
  <si>
    <t>87.04</t>
  </si>
  <si>
    <t>80.23</t>
  </si>
  <si>
    <t>79.62</t>
  </si>
  <si>
    <t>85.64</t>
  </si>
  <si>
    <t>76.95</t>
  </si>
  <si>
    <t>91.31</t>
  </si>
  <si>
    <t>79.25</t>
  </si>
  <si>
    <t>91.19</t>
  </si>
  <si>
    <t>79.85</t>
  </si>
  <si>
    <t>79.37</t>
  </si>
  <si>
    <t>76.57</t>
  </si>
  <si>
    <t>90.88</t>
  </si>
  <si>
    <t>86.86</t>
  </si>
  <si>
    <t>79.80</t>
  </si>
  <si>
    <t>85.71</t>
  </si>
  <si>
    <t>76.71</t>
  </si>
  <si>
    <t>90.54</t>
  </si>
  <si>
    <t>86.49</t>
  </si>
  <si>
    <t>76.97</t>
  </si>
  <si>
    <t>90.37</t>
  </si>
  <si>
    <t>79.70</t>
  </si>
  <si>
    <t>85.78</t>
  </si>
  <si>
    <t>76.55</t>
  </si>
  <si>
    <t>90.53</t>
  </si>
  <si>
    <t>86.51</t>
  </si>
  <si>
    <t>79.76</t>
  </si>
  <si>
    <t>79.38</t>
  </si>
  <si>
    <t>85.50</t>
  </si>
  <si>
    <t>76.49</t>
  </si>
  <si>
    <t>90.44</t>
  </si>
  <si>
    <t>79.54</t>
  </si>
  <si>
    <t>79.10</t>
  </si>
  <si>
    <t>85.54</t>
  </si>
  <si>
    <t>76.70</t>
  </si>
  <si>
    <t>90.40</t>
  </si>
  <si>
    <t>79.03</t>
  </si>
  <si>
    <t>85.76</t>
  </si>
  <si>
    <t>90.38</t>
  </si>
  <si>
    <t>79.83</t>
  </si>
  <si>
    <t>79.31</t>
  </si>
  <si>
    <t>85.89</t>
  </si>
  <si>
    <t>76.79</t>
  </si>
  <si>
    <t>90.11</t>
  </si>
  <si>
    <t>86.07</t>
  </si>
  <si>
    <t>79.89</t>
  </si>
  <si>
    <t>79.30</t>
  </si>
  <si>
    <t>90.25</t>
  </si>
  <si>
    <t>79.71</t>
  </si>
  <si>
    <t>77.23</t>
  </si>
  <si>
    <t>90.21</t>
  </si>
  <si>
    <t>79.65</t>
  </si>
  <si>
    <t>85.73</t>
  </si>
  <si>
    <t>77.81</t>
  </si>
  <si>
    <t>90.56</t>
  </si>
  <si>
    <t>79.69</t>
  </si>
  <si>
    <t>85.86</t>
  </si>
  <si>
    <t>77.83</t>
  </si>
  <si>
    <t>90.32</t>
  </si>
  <si>
    <t>79.99</t>
  </si>
  <si>
    <t>79.40</t>
  </si>
  <si>
    <t>77.72</t>
  </si>
  <si>
    <t>90.35</t>
  </si>
  <si>
    <t>79.79</t>
  </si>
  <si>
    <t>85.70</t>
  </si>
  <si>
    <t>77.60</t>
  </si>
  <si>
    <t>90.42</t>
  </si>
  <si>
    <t>80.02</t>
  </si>
  <si>
    <t>79.32</t>
  </si>
  <si>
    <t>80.04</t>
  </si>
  <si>
    <t>79.44</t>
  </si>
  <si>
    <t>76.60</t>
  </si>
  <si>
    <t>90.47</t>
  </si>
  <si>
    <t>85.96</t>
  </si>
  <si>
    <t>90.30</t>
  </si>
  <si>
    <t>79.60</t>
  </si>
  <si>
    <t>79.20</t>
  </si>
  <si>
    <t>86.00</t>
  </si>
  <si>
    <t>79.68</t>
  </si>
  <si>
    <t>79.34</t>
  </si>
  <si>
    <t>76.62</t>
  </si>
  <si>
    <t>90.31</t>
  </si>
  <si>
    <t>79.12</t>
  </si>
  <si>
    <t>75.95</t>
  </si>
  <si>
    <t>235.86</t>
  </si>
  <si>
    <t>273.64</t>
  </si>
  <si>
    <t>88.15</t>
  </si>
  <si>
    <t>73.09</t>
  </si>
  <si>
    <t>75.64</t>
  </si>
  <si>
    <t>235.70</t>
  </si>
  <si>
    <t>273.38</t>
  </si>
  <si>
    <t>88.22</t>
  </si>
  <si>
    <t>236.19</t>
  </si>
  <si>
    <t>87.89</t>
  </si>
  <si>
    <t>88.14</t>
  </si>
  <si>
    <t>72.93</t>
  </si>
  <si>
    <t>88.28</t>
  </si>
  <si>
    <t>72.97</t>
  </si>
  <si>
    <t>88.09</t>
  </si>
  <si>
    <t>88.12</t>
  </si>
  <si>
    <t>236.41</t>
  </si>
  <si>
    <t>88.11</t>
  </si>
  <si>
    <t>273.89</t>
  </si>
  <si>
    <t>88.04</t>
  </si>
  <si>
    <t>73.02</t>
  </si>
  <si>
    <t>236.45</t>
  </si>
  <si>
    <t>273.90</t>
  </si>
  <si>
    <t>72.85</t>
  </si>
  <si>
    <t>236.71</t>
  </si>
  <si>
    <t>72.76</t>
  </si>
  <si>
    <t>88.25</t>
  </si>
  <si>
    <t>75.73</t>
  </si>
  <si>
    <t>236.27</t>
  </si>
  <si>
    <t>274.01</t>
  </si>
  <si>
    <t>88.08</t>
  </si>
  <si>
    <t>75.38</t>
  </si>
  <si>
    <t>88.33</t>
  </si>
  <si>
    <t>75.63</t>
  </si>
  <si>
    <t>75.74</t>
  </si>
  <si>
    <t>88.40</t>
  </si>
  <si>
    <t>236.50</t>
  </si>
  <si>
    <t>88.35</t>
  </si>
  <si>
    <t>75.60</t>
  </si>
  <si>
    <t>236.86</t>
  </si>
  <si>
    <t>88.34</t>
  </si>
  <si>
    <t>75.79</t>
  </si>
  <si>
    <t>73.03</t>
  </si>
  <si>
    <t>75.80</t>
  </si>
  <si>
    <t>75.85</t>
  </si>
  <si>
    <t>236.38</t>
  </si>
  <si>
    <t>73.68</t>
  </si>
  <si>
    <t>76.36</t>
  </si>
  <si>
    <t>236.57</t>
  </si>
  <si>
    <t>75.50</t>
  </si>
  <si>
    <t>78.37</t>
  </si>
  <si>
    <t>236.82</t>
  </si>
  <si>
    <t>255.44</t>
  </si>
  <si>
    <t>31.93</t>
  </si>
  <si>
    <t>303.37</t>
  </si>
  <si>
    <t>279.27</t>
  </si>
  <si>
    <t>255.40</t>
  </si>
  <si>
    <t>32.72</t>
  </si>
  <si>
    <t>31.58</t>
  </si>
  <si>
    <t>303.42</t>
  </si>
  <si>
    <t>279.45</t>
  </si>
  <si>
    <t>303.59</t>
  </si>
  <si>
    <t>303.95</t>
  </si>
  <si>
    <t>279.87</t>
  </si>
  <si>
    <t>279.98</t>
  </si>
  <si>
    <t>255.72</t>
  </si>
  <si>
    <t>255.92</t>
  </si>
  <si>
    <t>32.34</t>
  </si>
  <si>
    <t>304.35</t>
  </si>
  <si>
    <t>280.25</t>
  </si>
  <si>
    <t>31.43</t>
  </si>
  <si>
    <t>258.29</t>
  </si>
  <si>
    <t>257.41</t>
  </si>
  <si>
    <t>147.62</t>
  </si>
  <si>
    <t>145.15</t>
  </si>
  <si>
    <t>143.35</t>
  </si>
  <si>
    <t>258.04</t>
  </si>
  <si>
    <t>256.64</t>
  </si>
  <si>
    <t>147.05</t>
  </si>
  <si>
    <t>144.61</t>
  </si>
  <si>
    <t>144.10</t>
  </si>
  <si>
    <t>148.07</t>
  </si>
  <si>
    <t>258.12</t>
  </si>
  <si>
    <t>256.83</t>
  </si>
  <si>
    <t>147.16</t>
  </si>
  <si>
    <t>144.80</t>
  </si>
  <si>
    <t>144.34</t>
  </si>
  <si>
    <t>258.54</t>
  </si>
  <si>
    <t>257.44</t>
  </si>
  <si>
    <t>147.67</t>
  </si>
  <si>
    <t>145.21</t>
  </si>
  <si>
    <t>258.67</t>
  </si>
  <si>
    <t>257.45</t>
  </si>
  <si>
    <t>147.94</t>
  </si>
  <si>
    <t>145.48</t>
  </si>
  <si>
    <t>259.38</t>
  </si>
  <si>
    <t>258.10</t>
  </si>
  <si>
    <t>148.34</t>
  </si>
  <si>
    <t>145.88</t>
  </si>
  <si>
    <t>258.81</t>
  </si>
  <si>
    <t>257.72</t>
  </si>
  <si>
    <t>147.88</t>
  </si>
  <si>
    <t>145.46</t>
  </si>
  <si>
    <t>259.08</t>
  </si>
  <si>
    <t>257.86</t>
  </si>
  <si>
    <t>148.11</t>
  </si>
  <si>
    <t>144.73</t>
  </si>
  <si>
    <t>259.30</t>
  </si>
  <si>
    <t>257.98</t>
  </si>
  <si>
    <t>145.84</t>
  </si>
  <si>
    <t>259.03</t>
  </si>
  <si>
    <t>148.18</t>
  </si>
  <si>
    <t>145.81</t>
  </si>
  <si>
    <t>258.92</t>
  </si>
  <si>
    <t>258.08</t>
  </si>
  <si>
    <t>148.19</t>
  </si>
  <si>
    <t>259.36</t>
  </si>
  <si>
    <t>258.24</t>
  </si>
  <si>
    <t>146.04</t>
  </si>
  <si>
    <t>259.37</t>
  </si>
  <si>
    <t>258.13</t>
  </si>
  <si>
    <t>145.85</t>
  </si>
  <si>
    <t>259.70</t>
  </si>
  <si>
    <t>258.36</t>
  </si>
  <si>
    <t>259.10</t>
  </si>
  <si>
    <t>148.06</t>
  </si>
  <si>
    <t>147.44</t>
  </si>
  <si>
    <t>145.23</t>
  </si>
  <si>
    <t>258.37</t>
  </si>
  <si>
    <t>257.16</t>
  </si>
  <si>
    <t>147.23</t>
  </si>
  <si>
    <t>144.98</t>
  </si>
  <si>
    <t>258.40</t>
  </si>
  <si>
    <t>257.23</t>
  </si>
  <si>
    <t>144.88</t>
  </si>
  <si>
    <t>258.49</t>
  </si>
  <si>
    <t>257.24</t>
  </si>
  <si>
    <t>147.51</t>
  </si>
  <si>
    <t>145.38</t>
  </si>
  <si>
    <t>257.95</t>
  </si>
  <si>
    <t>256.90</t>
  </si>
  <si>
    <t>147.11</t>
  </si>
  <si>
    <t>145.05</t>
  </si>
  <si>
    <t>258.74</t>
  </si>
  <si>
    <t>147.66</t>
  </si>
  <si>
    <t>145.51</t>
  </si>
  <si>
    <t>258.44</t>
  </si>
  <si>
    <t>257.49</t>
  </si>
  <si>
    <t>258.09</t>
  </si>
  <si>
    <t>256.95</t>
  </si>
  <si>
    <t>145.02</t>
  </si>
  <si>
    <t>258.14</t>
  </si>
  <si>
    <t>256.85</t>
  </si>
  <si>
    <t>147.00</t>
  </si>
  <si>
    <t>144.89</t>
  </si>
  <si>
    <t>257.52</t>
  </si>
  <si>
    <t>147.58</t>
  </si>
  <si>
    <t>-78.90</t>
  </si>
  <si>
    <t>-74.67</t>
  </si>
  <si>
    <t>-256.78</t>
  </si>
  <si>
    <t>-244.25</t>
  </si>
  <si>
    <t>33.24</t>
  </si>
  <si>
    <t>34.80</t>
  </si>
  <si>
    <t>-79.06</t>
  </si>
  <si>
    <t>-257.28</t>
  </si>
  <si>
    <t>-244.43</t>
  </si>
  <si>
    <t>34.49</t>
  </si>
  <si>
    <t>-78.66</t>
  </si>
  <si>
    <t>-74.34</t>
  </si>
  <si>
    <t>-256.41</t>
  </si>
  <si>
    <t>-243.83</t>
  </si>
  <si>
    <t>-79.07</t>
  </si>
  <si>
    <t>-74.79</t>
  </si>
  <si>
    <t>-257.45</t>
  </si>
  <si>
    <t>-244.50</t>
  </si>
  <si>
    <t>-79.38</t>
  </si>
  <si>
    <t>-243.99</t>
  </si>
  <si>
    <t>-79.47</t>
  </si>
  <si>
    <t>-74.38</t>
  </si>
  <si>
    <t>-257.10</t>
  </si>
  <si>
    <t>-79.53</t>
  </si>
  <si>
    <t>-244.28</t>
  </si>
  <si>
    <t>34.29</t>
  </si>
  <si>
    <t>-79.09</t>
  </si>
  <si>
    <t>-244.34</t>
  </si>
  <si>
    <t>33.97</t>
  </si>
  <si>
    <t>-74.46</t>
  </si>
  <si>
    <t>-257.34</t>
  </si>
  <si>
    <t>-244.65</t>
  </si>
  <si>
    <t>-79.28</t>
  </si>
  <si>
    <t>-74.37</t>
  </si>
  <si>
    <t>-257.13</t>
  </si>
  <si>
    <t>-244.15</t>
  </si>
  <si>
    <t>-79.21</t>
  </si>
  <si>
    <t>-74.50</t>
  </si>
  <si>
    <t>-257.35</t>
  </si>
  <si>
    <t>-244.33</t>
  </si>
  <si>
    <t>-78.99</t>
  </si>
  <si>
    <t>-74.27</t>
  </si>
  <si>
    <t>-257.30</t>
  </si>
  <si>
    <t>-244.40</t>
  </si>
  <si>
    <t>-79.25</t>
  </si>
  <si>
    <t>-74.61</t>
  </si>
  <si>
    <t>-257.74</t>
  </si>
  <si>
    <t>-257.86</t>
  </si>
  <si>
    <t>-244.88</t>
  </si>
  <si>
    <t>-78.58</t>
  </si>
  <si>
    <t>-257.58</t>
  </si>
  <si>
    <t>-244.75</t>
  </si>
  <si>
    <t>-79.58</t>
  </si>
  <si>
    <t>-257.87</t>
  </si>
  <si>
    <t>-79.86</t>
  </si>
  <si>
    <t>-75.62</t>
  </si>
  <si>
    <t>-257.61</t>
  </si>
  <si>
    <t>-244.64</t>
  </si>
  <si>
    <t>-79.90</t>
  </si>
  <si>
    <t>-75.30</t>
  </si>
  <si>
    <t>-244.36</t>
  </si>
  <si>
    <t>-80.33</t>
  </si>
  <si>
    <t>-74.99</t>
  </si>
  <si>
    <t>-257.40</t>
  </si>
  <si>
    <t>-244.22</t>
  </si>
  <si>
    <t>-80.26</t>
  </si>
  <si>
    <t>-74.06</t>
  </si>
  <si>
    <t>-256.87</t>
  </si>
  <si>
    <t>-79.72</t>
  </si>
  <si>
    <t>-74.12</t>
  </si>
  <si>
    <t>-256.28</t>
  </si>
  <si>
    <t>-243.54</t>
  </si>
  <si>
    <t>34.15</t>
  </si>
  <si>
    <t>-79.60</t>
  </si>
  <si>
    <t>-74.40</t>
  </si>
  <si>
    <t>-256.05</t>
  </si>
  <si>
    <t>-243.51</t>
  </si>
  <si>
    <t>-79.63</t>
  </si>
  <si>
    <t>-74.71</t>
  </si>
  <si>
    <t>-256.82</t>
  </si>
  <si>
    <t>-79.56</t>
  </si>
  <si>
    <t>-256.90</t>
  </si>
  <si>
    <t>-243.89</t>
  </si>
  <si>
    <t>-256.06</t>
  </si>
  <si>
    <t>-243.41</t>
  </si>
  <si>
    <t>266.90</t>
  </si>
  <si>
    <t>269.26</t>
  </si>
  <si>
    <t>40.07</t>
  </si>
  <si>
    <t>266.52</t>
  </si>
  <si>
    <t>268.73</t>
  </si>
  <si>
    <t>42.39</t>
  </si>
  <si>
    <t>39.94</t>
  </si>
  <si>
    <t>41.48</t>
  </si>
  <si>
    <t>266.43</t>
  </si>
  <si>
    <t>42.29</t>
  </si>
  <si>
    <t>39.92</t>
  </si>
  <si>
    <t>41.57</t>
  </si>
  <si>
    <t>267.13</t>
  </si>
  <si>
    <t>269.48</t>
  </si>
  <si>
    <t>267.28</t>
  </si>
  <si>
    <t>269.54</t>
  </si>
  <si>
    <t>42.40</t>
  </si>
  <si>
    <t>39.82</t>
  </si>
  <si>
    <t>41.44</t>
  </si>
  <si>
    <t>268.11</t>
  </si>
  <si>
    <t>39.76</t>
  </si>
  <si>
    <t>267.15</t>
  </si>
  <si>
    <t>42.63</t>
  </si>
  <si>
    <t>267.41</t>
  </si>
  <si>
    <t>42.59</t>
  </si>
  <si>
    <t>39.83</t>
  </si>
  <si>
    <t>268.03</t>
  </si>
  <si>
    <t>269.90</t>
  </si>
  <si>
    <t>39.89</t>
  </si>
  <si>
    <t>42.74</t>
  </si>
  <si>
    <t>41.33</t>
  </si>
  <si>
    <t>267.60</t>
  </si>
  <si>
    <t>269.72</t>
  </si>
  <si>
    <t>41.41</t>
  </si>
  <si>
    <t>267.63</t>
  </si>
  <si>
    <t>269.77</t>
  </si>
  <si>
    <t>270.11</t>
  </si>
  <si>
    <t>41.30</t>
  </si>
  <si>
    <t>41.39</t>
  </si>
  <si>
    <t>268.01</t>
  </si>
  <si>
    <t>39.88</t>
  </si>
  <si>
    <t>267.74</t>
  </si>
  <si>
    <t>269.85</t>
  </si>
  <si>
    <t>42.70</t>
  </si>
  <si>
    <t>41.45</t>
  </si>
  <si>
    <t>267.06</t>
  </si>
  <si>
    <t>266.64</t>
  </si>
  <si>
    <t>268.98</t>
  </si>
  <si>
    <t>42.99</t>
  </si>
  <si>
    <t>39.91</t>
  </si>
  <si>
    <t>266.59</t>
  </si>
  <si>
    <t>269.24</t>
  </si>
  <si>
    <t>39.80</t>
  </si>
  <si>
    <t>266.61</t>
  </si>
  <si>
    <t>269.31</t>
  </si>
  <si>
    <t>42.93</t>
  </si>
  <si>
    <t>41.38</t>
  </si>
  <si>
    <t>41.53</t>
  </si>
  <si>
    <t>267.09</t>
  </si>
  <si>
    <t>269.37</t>
  </si>
  <si>
    <t>39.84</t>
  </si>
  <si>
    <t>41.50</t>
  </si>
  <si>
    <t>266.75</t>
  </si>
  <si>
    <t>269.41</t>
  </si>
  <si>
    <t>42.79</t>
  </si>
  <si>
    <t>39.74</t>
  </si>
  <si>
    <t>266.76</t>
  </si>
  <si>
    <t>269.17</t>
  </si>
  <si>
    <t>266.39</t>
  </si>
  <si>
    <t>42.80</t>
  </si>
  <si>
    <t>41.46</t>
  </si>
  <si>
    <t>266.80</t>
  </si>
  <si>
    <t>407.35</t>
  </si>
  <si>
    <t>691.85</t>
  </si>
  <si>
    <t>147.72</t>
  </si>
  <si>
    <t>406.69</t>
  </si>
  <si>
    <t>690.82</t>
  </si>
  <si>
    <t>539.05</t>
  </si>
  <si>
    <t>38.74</t>
  </si>
  <si>
    <t>271.50</t>
  </si>
  <si>
    <t>406.63</t>
  </si>
  <si>
    <t>691.02</t>
  </si>
  <si>
    <t>149.80</t>
  </si>
  <si>
    <t>38.66</t>
  </si>
  <si>
    <t>407.29</t>
  </si>
  <si>
    <t>690.72</t>
  </si>
  <si>
    <t>539.20</t>
  </si>
  <si>
    <t>148.45</t>
  </si>
  <si>
    <t>407.17</t>
  </si>
  <si>
    <t>690.84</t>
  </si>
  <si>
    <t>269.57</t>
  </si>
  <si>
    <t>407.25</t>
  </si>
  <si>
    <t>691.52</t>
  </si>
  <si>
    <t>147.34</t>
  </si>
  <si>
    <t>406.42</t>
  </si>
  <si>
    <t>691.98</t>
  </si>
  <si>
    <t>538.59</t>
  </si>
  <si>
    <t>269.83</t>
  </si>
  <si>
    <t>406.23</t>
  </si>
  <si>
    <t>692.35</t>
  </si>
  <si>
    <t>147.95</t>
  </si>
  <si>
    <t>38.57</t>
  </si>
  <si>
    <t>406.38</t>
  </si>
  <si>
    <t>693.33</t>
  </si>
  <si>
    <t>405.89</t>
  </si>
  <si>
    <t>691.97</t>
  </si>
  <si>
    <t>38.75</t>
  </si>
  <si>
    <t>405.55</t>
  </si>
  <si>
    <t>691.73</t>
  </si>
  <si>
    <t>538.74</t>
  </si>
  <si>
    <t>38.81</t>
  </si>
  <si>
    <t>270.06</t>
  </si>
  <si>
    <t>405.74</t>
  </si>
  <si>
    <t>693.07</t>
  </si>
  <si>
    <t>148.22</t>
  </si>
  <si>
    <t>38.80</t>
  </si>
  <si>
    <t>271.54</t>
  </si>
  <si>
    <t>406.32</t>
  </si>
  <si>
    <t>694.84</t>
  </si>
  <si>
    <t>271.71</t>
  </si>
  <si>
    <t>405.95</t>
  </si>
  <si>
    <t>694.14</t>
  </si>
  <si>
    <t>149.95</t>
  </si>
  <si>
    <t>38.76</t>
  </si>
  <si>
    <t>271.25</t>
  </si>
  <si>
    <t>693.37</t>
  </si>
  <si>
    <t>539.02</t>
  </si>
  <si>
    <t>149.49</t>
  </si>
  <si>
    <t>271.13</t>
  </si>
  <si>
    <t>406.16</t>
  </si>
  <si>
    <t>695.81</t>
  </si>
  <si>
    <t>407.32</t>
  </si>
  <si>
    <t>695.49</t>
  </si>
  <si>
    <t>149.23</t>
  </si>
  <si>
    <t>38.73</t>
  </si>
  <si>
    <t>270.12</t>
  </si>
  <si>
    <t>694.68</t>
  </si>
  <si>
    <t>148.47</t>
  </si>
  <si>
    <t>38.79</t>
  </si>
  <si>
    <t>270.47</t>
  </si>
  <si>
    <t>694.63</t>
  </si>
  <si>
    <t>148.70</t>
  </si>
  <si>
    <t>38.83</t>
  </si>
  <si>
    <t>271.57</t>
  </si>
  <si>
    <t>407.14</t>
  </si>
  <si>
    <t>694.89</t>
  </si>
  <si>
    <t>406.51</t>
  </si>
  <si>
    <t>693.58</t>
  </si>
  <si>
    <t>406.36</t>
  </si>
  <si>
    <t>695.38</t>
  </si>
  <si>
    <t>694.05</t>
  </si>
  <si>
    <t>150.14</t>
  </si>
  <si>
    <t>407.07</t>
  </si>
  <si>
    <t>694.56</t>
  </si>
  <si>
    <t>538.45</t>
  </si>
  <si>
    <t>149.92</t>
  </si>
  <si>
    <t>409.28</t>
  </si>
  <si>
    <t>693.61</t>
  </si>
  <si>
    <t>347.72</t>
  </si>
  <si>
    <t>37.73</t>
  </si>
  <si>
    <t>539.50</t>
  </si>
  <si>
    <t>35.58</t>
  </si>
  <si>
    <t>346.07</t>
  </si>
  <si>
    <t>38.00</t>
  </si>
  <si>
    <t>35.82</t>
  </si>
  <si>
    <t>0.1070</t>
  </si>
  <si>
    <t>345.14</t>
  </si>
  <si>
    <t>346.39</t>
  </si>
  <si>
    <t>540.22</t>
  </si>
  <si>
    <t>345.59</t>
  </si>
  <si>
    <t>540.89</t>
  </si>
  <si>
    <t>345.76</t>
  </si>
  <si>
    <t>541.32</t>
  </si>
  <si>
    <t>540.50</t>
  </si>
  <si>
    <t>345.94</t>
  </si>
  <si>
    <t>540.74</t>
  </si>
  <si>
    <t>542.17</t>
  </si>
  <si>
    <t>345.81</t>
  </si>
  <si>
    <t>345.16</t>
  </si>
  <si>
    <t>36.00</t>
  </si>
  <si>
    <t>0.1063</t>
  </si>
  <si>
    <t>345.34</t>
  </si>
  <si>
    <t>345.68</t>
  </si>
  <si>
    <t>539.85</t>
  </si>
  <si>
    <t>345.19</t>
  </si>
  <si>
    <t>345.38</t>
  </si>
  <si>
    <t>540.12</t>
  </si>
  <si>
    <t>346.15</t>
  </si>
  <si>
    <t>540.18</t>
  </si>
  <si>
    <t>345.51</t>
  </si>
  <si>
    <t>541.16</t>
  </si>
  <si>
    <t>540.37</t>
  </si>
  <si>
    <t>345.11</t>
  </si>
  <si>
    <t>539.96</t>
  </si>
  <si>
    <t>345.53</t>
  </si>
  <si>
    <t>345.20</t>
  </si>
  <si>
    <t>206.82</t>
  </si>
  <si>
    <t>346.43</t>
  </si>
  <si>
    <t>213.77</t>
  </si>
  <si>
    <t>207.13</t>
  </si>
  <si>
    <t>171.92</t>
  </si>
  <si>
    <t>345.49</t>
  </si>
  <si>
    <t>38.06</t>
  </si>
  <si>
    <t>213.84</t>
  </si>
  <si>
    <t>207.47</t>
  </si>
  <si>
    <t>172.06</t>
  </si>
  <si>
    <t>343.03</t>
  </si>
  <si>
    <t>214.06</t>
  </si>
  <si>
    <t>207.20</t>
  </si>
  <si>
    <t>170.69</t>
  </si>
  <si>
    <t>343.85</t>
  </si>
  <si>
    <t>169.67</t>
  </si>
  <si>
    <t>213.82</t>
  </si>
  <si>
    <t>345.41</t>
  </si>
  <si>
    <t>213.55</t>
  </si>
  <si>
    <t>170.38</t>
  </si>
  <si>
    <t>344.90</t>
  </si>
  <si>
    <t>213.75</t>
  </si>
  <si>
    <t>214.10</t>
  </si>
  <si>
    <t>344.65</t>
  </si>
  <si>
    <t>169.77</t>
  </si>
  <si>
    <t>344.84</t>
  </si>
  <si>
    <t>213.59</t>
  </si>
  <si>
    <t>170.17</t>
  </si>
  <si>
    <t>171.60</t>
  </si>
  <si>
    <t>207.29</t>
  </si>
  <si>
    <t>172.00</t>
  </si>
  <si>
    <t>38.21</t>
  </si>
  <si>
    <t>171.30</t>
  </si>
  <si>
    <t>170.56</t>
  </si>
  <si>
    <t>344.89</t>
  </si>
  <si>
    <t>344.64</t>
  </si>
  <si>
    <t>343.83</t>
  </si>
  <si>
    <t>172.26</t>
  </si>
  <si>
    <t>172.54</t>
  </si>
  <si>
    <t>344.40</t>
  </si>
  <si>
    <t>172.07</t>
  </si>
  <si>
    <t>171.31</t>
  </si>
  <si>
    <t>45.49</t>
  </si>
  <si>
    <t>541.96</t>
  </si>
  <si>
    <t>45.32</t>
  </si>
  <si>
    <t>539.15</t>
  </si>
  <si>
    <t>536.73</t>
  </si>
  <si>
    <t>539.34</t>
  </si>
  <si>
    <t>539.92</t>
  </si>
  <si>
    <t>538.80</t>
  </si>
  <si>
    <t>539.51</t>
  </si>
  <si>
    <t>538.57</t>
  </si>
  <si>
    <t>538.36</t>
  </si>
  <si>
    <t>539.09</t>
  </si>
  <si>
    <t>539.27</t>
  </si>
  <si>
    <t>36.12</t>
  </si>
  <si>
    <t>44.87</t>
  </si>
  <si>
    <t>538.73</t>
  </si>
  <si>
    <t>537.84</t>
  </si>
  <si>
    <t>539.14</t>
  </si>
  <si>
    <t>538.53</t>
  </si>
  <si>
    <t>538.87</t>
  </si>
  <si>
    <t>146.38</t>
  </si>
  <si>
    <t>35.72</t>
  </si>
  <si>
    <t>539.29</t>
  </si>
  <si>
    <t>148.50</t>
  </si>
  <si>
    <t>534.82</t>
  </si>
  <si>
    <t>148.39</t>
  </si>
  <si>
    <t>537.49</t>
  </si>
  <si>
    <t>147.01</t>
  </si>
  <si>
    <t>146.63</t>
  </si>
  <si>
    <t>145.65</t>
  </si>
  <si>
    <t>540.48</t>
  </si>
  <si>
    <t>539.30</t>
  </si>
  <si>
    <t>537.86</t>
  </si>
  <si>
    <t>145.90</t>
  </si>
  <si>
    <t>145.52</t>
  </si>
  <si>
    <t>539.99</t>
  </si>
  <si>
    <t>146.60</t>
  </si>
  <si>
    <t>541.64</t>
  </si>
  <si>
    <t>146.61</t>
  </si>
  <si>
    <t>146.26</t>
  </si>
  <si>
    <t>537.67</t>
  </si>
  <si>
    <t>146.30</t>
  </si>
  <si>
    <t>537.13</t>
  </si>
  <si>
    <t>146.85</t>
  </si>
  <si>
    <t>146.53</t>
  </si>
  <si>
    <t>542.16</t>
  </si>
  <si>
    <t>147.96</t>
  </si>
  <si>
    <t>542.92</t>
  </si>
  <si>
    <t>541.49</t>
  </si>
  <si>
    <t>148.60</t>
  </si>
  <si>
    <t>541.82</t>
  </si>
  <si>
    <t>147.76</t>
  </si>
  <si>
    <t>147.71</t>
  </si>
  <si>
    <t>147.87</t>
  </si>
  <si>
    <t>537.01</t>
  </si>
  <si>
    <t>146.71</t>
  </si>
  <si>
    <t>147.36</t>
  </si>
  <si>
    <t>146.99</t>
  </si>
  <si>
    <t>539.84</t>
  </si>
  <si>
    <t>148.37</t>
  </si>
  <si>
    <t>148.01</t>
  </si>
  <si>
    <t>541.26</t>
  </si>
  <si>
    <t>148.54</t>
  </si>
  <si>
    <t>539.57</t>
  </si>
  <si>
    <t>148.77</t>
  </si>
  <si>
    <t>148.41</t>
  </si>
  <si>
    <t>148.57</t>
  </si>
  <si>
    <t>148.21</t>
  </si>
  <si>
    <t>537.03</t>
  </si>
  <si>
    <t>147.56</t>
  </si>
  <si>
    <t>540.34</t>
  </si>
  <si>
    <t>538.78</t>
  </si>
  <si>
    <t>538.72</t>
  </si>
  <si>
    <t>539.80</t>
  </si>
  <si>
    <t>539.60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</si>
</sst>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0.0"/>
    <numFmt numFmtId="165" formatCode="0.000"/>
    <numFmt numFmtId="166" formatCode="0.0000"/>
    <numFmt numFmtId="167" formatCode="0.0000E+00"/>
    <numFmt numFmtId="168" formatCode="[$-F400]h:mm:ss\ AM/PM"/>
    <numFmt numFmtId="169" formatCode="0.00000000"/>
    <numFmt numFmtId="170" formatCode="0.00000"/>
    <numFmt numFmtId="171" formatCode="0.000000000"/>
    <numFmt numFmtId="172" formatCode="0.000000"/>
    <numFmt numFmtId="173" formatCode="0.00000000000"/>
    <numFmt numFmtId="174" formatCode="0.0000000"/>
    <numFmt numFmtId="175" formatCode="dddd\,\ mmmm\ dd\,\ yyyy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u/>
      <sz val="8"/>
      <color indexed="12"/>
      <name val="Arial"/>
      <family val="2"/>
    </font>
    <font>
      <sz val="14"/>
      <name val="Arial"/>
      <family val="2"/>
    </font>
    <font>
      <b/>
      <u/>
      <sz val="8"/>
      <color indexed="12"/>
      <name val="Arial"/>
      <family val="2"/>
    </font>
    <font>
      <b/>
      <sz val="8"/>
      <name val="Arial"/>
      <family val="2"/>
    </font>
    <font>
      <b/>
      <i/>
      <sz val="12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MS Sans Serif"/>
      <family val="2"/>
    </font>
    <font>
      <b/>
      <sz val="14"/>
      <color theme="1"/>
      <name val="Calibri"/>
      <family val="2"/>
      <scheme val="minor"/>
    </font>
    <font>
      <sz val="10"/>
      <color indexed="8"/>
      <name val="MS Sans Serif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4"/>
      <color indexed="8"/>
      <name val="Courier New"/>
      <family val="3"/>
    </font>
    <font>
      <sz val="10"/>
      <color indexed="8"/>
      <name val="MS Sans Serif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"/>
      <name val="MS Sans Serif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i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0"/>
      <color indexed="8"/>
      <name val="MS Sans Serif"/>
    </font>
    <font>
      <b/>
      <sz val="9.1"/>
      <color indexed="8"/>
      <name val="Times New Roman"/>
      <family val="1"/>
    </font>
    <font>
      <sz val="9.1"/>
      <color indexed="8"/>
      <name val="Courier New"/>
      <family val="3"/>
    </font>
    <font>
      <u/>
      <sz val="7.7"/>
      <color indexed="8"/>
      <name val="Courier New"/>
      <family val="3"/>
    </font>
    <font>
      <sz val="7.7"/>
      <color indexed="8"/>
      <name val="Courier New"/>
      <family val="3"/>
    </font>
    <font>
      <b/>
      <sz val="7.2"/>
      <color indexed="8"/>
      <name val="Courier New"/>
      <family val="3"/>
    </font>
    <font>
      <sz val="9.1"/>
      <color indexed="8"/>
      <name val="Times New Roman"/>
      <family val="1"/>
    </font>
    <font>
      <sz val="10.1"/>
      <color indexed="8"/>
      <name val="Times New Roman"/>
      <family val="1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5FFC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66FFCC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4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6" fillId="0" borderId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7" fillId="0" borderId="0"/>
    <xf numFmtId="168" fontId="17" fillId="0" borderId="0"/>
    <xf numFmtId="0" fontId="19" fillId="0" borderId="0"/>
    <xf numFmtId="0" fontId="32" fillId="0" borderId="0"/>
    <xf numFmtId="0" fontId="35" fillId="0" borderId="0"/>
    <xf numFmtId="0" fontId="42" fillId="0" borderId="0"/>
    <xf numFmtId="0" fontId="43" fillId="0" borderId="0"/>
    <xf numFmtId="0" fontId="44" fillId="0" borderId="0"/>
    <xf numFmtId="0" fontId="45" fillId="0" borderId="0"/>
  </cellStyleXfs>
  <cellXfs count="383">
    <xf numFmtId="0" fontId="0" fillId="0" borderId="0" xfId="0"/>
    <xf numFmtId="0" fontId="0" fillId="0" borderId="0" xfId="0" applyBorder="1"/>
    <xf numFmtId="0" fontId="6" fillId="0" borderId="0" xfId="0" applyFont="1"/>
    <xf numFmtId="0" fontId="3" fillId="0" borderId="0" xfId="0" applyFont="1"/>
    <xf numFmtId="0" fontId="7" fillId="0" borderId="0" xfId="0" applyFont="1"/>
    <xf numFmtId="0" fontId="2" fillId="0" borderId="0" xfId="0" applyFont="1"/>
    <xf numFmtId="0" fontId="9" fillId="0" borderId="0" xfId="3" applyFont="1" applyAlignment="1" applyProtection="1"/>
    <xf numFmtId="0" fontId="8" fillId="0" borderId="0" xfId="3" applyAlignment="1" applyProtection="1"/>
    <xf numFmtId="0" fontId="2" fillId="0" borderId="0" xfId="0" applyFont="1" applyFill="1" applyBorder="1"/>
    <xf numFmtId="0" fontId="0" fillId="0" borderId="0" xfId="0" applyFill="1" applyBorder="1"/>
    <xf numFmtId="0" fontId="0" fillId="3" borderId="4" xfId="0" applyFill="1" applyBorder="1"/>
    <xf numFmtId="2" fontId="2" fillId="4" borderId="10" xfId="0" applyNumberFormat="1" applyFont="1" applyFill="1" applyBorder="1"/>
    <xf numFmtId="0" fontId="0" fillId="3" borderId="5" xfId="0" applyFill="1" applyBorder="1"/>
    <xf numFmtId="165" fontId="2" fillId="4" borderId="10" xfId="0" applyNumberFormat="1" applyFont="1" applyFill="1" applyBorder="1"/>
    <xf numFmtId="0" fontId="0" fillId="0" borderId="6" xfId="0" applyBorder="1"/>
    <xf numFmtId="165" fontId="0" fillId="0" borderId="0" xfId="0" applyNumberFormat="1" applyBorder="1"/>
    <xf numFmtId="0" fontId="0" fillId="0" borderId="7" xfId="0" applyBorder="1"/>
    <xf numFmtId="2" fontId="0" fillId="0" borderId="0" xfId="0" applyNumberFormat="1" applyBorder="1"/>
    <xf numFmtId="0" fontId="2" fillId="0" borderId="6" xfId="0" applyFont="1" applyBorder="1"/>
    <xf numFmtId="164" fontId="0" fillId="0" borderId="0" xfId="0" applyNumberFormat="1" applyBorder="1"/>
    <xf numFmtId="0" fontId="2" fillId="0" borderId="6" xfId="0" applyFont="1" applyFill="1" applyBorder="1"/>
    <xf numFmtId="0" fontId="0" fillId="0" borderId="8" xfId="0" applyBorder="1"/>
    <xf numFmtId="164" fontId="0" fillId="0" borderId="11" xfId="0" applyNumberFormat="1" applyBorder="1"/>
    <xf numFmtId="0" fontId="0" fillId="0" borderId="9" xfId="0" applyBorder="1"/>
    <xf numFmtId="0" fontId="0" fillId="3" borderId="6" xfId="0" applyFill="1" applyBorder="1"/>
    <xf numFmtId="2" fontId="2" fillId="4" borderId="0" xfId="0" applyNumberFormat="1" applyFont="1" applyFill="1" applyBorder="1"/>
    <xf numFmtId="0" fontId="0" fillId="3" borderId="7" xfId="0" applyFill="1" applyBorder="1"/>
    <xf numFmtId="0" fontId="3" fillId="0" borderId="7" xfId="0" applyFont="1" applyBorder="1"/>
    <xf numFmtId="0" fontId="0" fillId="0" borderId="6" xfId="0" applyFill="1" applyBorder="1"/>
    <xf numFmtId="0" fontId="0" fillId="0" borderId="7" xfId="0" applyFill="1" applyBorder="1"/>
    <xf numFmtId="0" fontId="2" fillId="0" borderId="0" xfId="0" applyFont="1" applyBorder="1" applyAlignment="1">
      <alignment horizontal="center"/>
    </xf>
    <xf numFmtId="0" fontId="0" fillId="0" borderId="11" xfId="0" applyBorder="1"/>
    <xf numFmtId="0" fontId="10" fillId="0" borderId="0" xfId="0" applyFont="1"/>
    <xf numFmtId="0" fontId="11" fillId="0" borderId="0" xfId="3" applyFont="1" applyAlignment="1" applyProtection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167" fontId="2" fillId="0" borderId="0" xfId="0" applyNumberFormat="1" applyFont="1"/>
    <xf numFmtId="0" fontId="3" fillId="0" borderId="0" xfId="0" applyFont="1" applyBorder="1"/>
    <xf numFmtId="0" fontId="14" fillId="0" borderId="0" xfId="0" applyFont="1" applyBorder="1"/>
    <xf numFmtId="166" fontId="2" fillId="0" borderId="0" xfId="0" applyNumberFormat="1" applyFont="1"/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0" xfId="0" applyNumberFormat="1" applyFill="1" applyBorder="1" applyAlignment="1" applyProtection="1"/>
    <xf numFmtId="0" fontId="18" fillId="0" borderId="0" xfId="0" applyFont="1" applyBorder="1" applyAlignment="1">
      <alignment wrapText="1"/>
    </xf>
    <xf numFmtId="0" fontId="20" fillId="0" borderId="21" xfId="0" applyFont="1" applyBorder="1" applyAlignment="1">
      <alignment vertical="center" wrapText="1"/>
    </xf>
    <xf numFmtId="0" fontId="0" fillId="0" borderId="2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2" borderId="17" xfId="0" applyFill="1" applyBorder="1"/>
    <xf numFmtId="0" fontId="0" fillId="0" borderId="17" xfId="0" applyBorder="1"/>
    <xf numFmtId="0" fontId="0" fillId="0" borderId="24" xfId="0" applyBorder="1"/>
    <xf numFmtId="0" fontId="0" fillId="0" borderId="25" xfId="0" applyBorder="1"/>
    <xf numFmtId="20" fontId="1" fillId="0" borderId="0" xfId="0" applyNumberFormat="1" applyFont="1" applyAlignment="1">
      <alignment horizontal="center"/>
    </xf>
    <xf numFmtId="20" fontId="1" fillId="0" borderId="0" xfId="0" applyNumberFormat="1" applyFont="1"/>
    <xf numFmtId="2" fontId="0" fillId="9" borderId="17" xfId="0" applyNumberFormat="1" applyFill="1" applyBorder="1"/>
    <xf numFmtId="0" fontId="0" fillId="6" borderId="0" xfId="0" quotePrefix="1" applyFill="1"/>
    <xf numFmtId="0" fontId="0" fillId="6" borderId="0" xfId="0" quotePrefix="1" applyNumberFormat="1" applyFill="1"/>
    <xf numFmtId="0" fontId="0" fillId="2" borderId="0" xfId="0" applyNumberFormat="1" applyFill="1"/>
    <xf numFmtId="0" fontId="0" fillId="0" borderId="0" xfId="0" applyNumberFormat="1"/>
    <xf numFmtId="2" fontId="0" fillId="0" borderId="17" xfId="0" applyNumberFormat="1" applyBorder="1"/>
    <xf numFmtId="0" fontId="0" fillId="6" borderId="0" xfId="0" applyNumberFormat="1" applyFill="1"/>
    <xf numFmtId="2" fontId="1" fillId="5" borderId="17" xfId="0" applyNumberFormat="1" applyFont="1" applyFill="1" applyBorder="1"/>
    <xf numFmtId="2" fontId="0" fillId="0" borderId="17" xfId="0" applyNumberFormat="1" applyFill="1" applyBorder="1"/>
    <xf numFmtId="166" fontId="0" fillId="0" borderId="17" xfId="0" applyNumberFormat="1" applyBorder="1"/>
    <xf numFmtId="0" fontId="0" fillId="0" borderId="12" xfId="0" applyBorder="1"/>
    <xf numFmtId="0" fontId="0" fillId="0" borderId="18" xfId="0" applyBorder="1"/>
    <xf numFmtId="2" fontId="0" fillId="9" borderId="13" xfId="0" applyNumberFormat="1" applyFill="1" applyBorder="1"/>
    <xf numFmtId="0" fontId="0" fillId="6" borderId="0" xfId="0" applyFill="1"/>
    <xf numFmtId="0" fontId="0" fillId="0" borderId="0" xfId="0" applyFill="1"/>
    <xf numFmtId="0" fontId="20" fillId="0" borderId="24" xfId="0" applyFont="1" applyBorder="1" applyAlignment="1">
      <alignment horizontal="center" vertical="center"/>
    </xf>
    <xf numFmtId="0" fontId="21" fillId="0" borderId="24" xfId="0" applyFont="1" applyBorder="1"/>
    <xf numFmtId="0" fontId="21" fillId="0" borderId="0" xfId="0" applyFont="1" applyBorder="1"/>
    <xf numFmtId="2" fontId="0" fillId="6" borderId="25" xfId="0" applyNumberFormat="1" applyFill="1" applyBorder="1"/>
    <xf numFmtId="0" fontId="0" fillId="2" borderId="0" xfId="0" applyFill="1"/>
    <xf numFmtId="0" fontId="0" fillId="6" borderId="25" xfId="0" applyFill="1" applyBorder="1"/>
    <xf numFmtId="0" fontId="22" fillId="0" borderId="26" xfId="0" applyFont="1" applyFill="1" applyBorder="1"/>
    <xf numFmtId="0" fontId="22" fillId="0" borderId="27" xfId="0" applyFont="1" applyFill="1" applyBorder="1"/>
    <xf numFmtId="2" fontId="22" fillId="0" borderId="27" xfId="0" applyNumberFormat="1" applyFont="1" applyFill="1" applyBorder="1"/>
    <xf numFmtId="2" fontId="22" fillId="6" borderId="28" xfId="0" applyNumberFormat="1" applyFont="1" applyFill="1" applyBorder="1"/>
    <xf numFmtId="2" fontId="0" fillId="0" borderId="0" xfId="0" applyNumberFormat="1" applyBorder="1" applyAlignment="1">
      <alignment horizontal="center" vertical="center"/>
    </xf>
    <xf numFmtId="2" fontId="0" fillId="0" borderId="25" xfId="0" applyNumberFormat="1" applyBorder="1"/>
    <xf numFmtId="0" fontId="0" fillId="0" borderId="29" xfId="0" applyBorder="1"/>
    <xf numFmtId="0" fontId="0" fillId="0" borderId="30" xfId="0" applyBorder="1"/>
    <xf numFmtId="2" fontId="0" fillId="0" borderId="30" xfId="0" applyNumberFormat="1" applyBorder="1"/>
    <xf numFmtId="2" fontId="0" fillId="6" borderId="31" xfId="0" applyNumberFormat="1" applyFill="1" applyBorder="1"/>
    <xf numFmtId="0" fontId="0" fillId="10" borderId="0" xfId="0" applyFill="1"/>
    <xf numFmtId="0" fontId="0" fillId="0" borderId="26" xfId="0" applyBorder="1"/>
    <xf numFmtId="0" fontId="0" fillId="0" borderId="27" xfId="0" applyFill="1" applyBorder="1"/>
    <xf numFmtId="2" fontId="0" fillId="0" borderId="27" xfId="0" applyNumberFormat="1" applyBorder="1"/>
    <xf numFmtId="2" fontId="0" fillId="0" borderId="28" xfId="0" applyNumberFormat="1" applyBorder="1"/>
    <xf numFmtId="0" fontId="21" fillId="0" borderId="29" xfId="0" applyFont="1" applyBorder="1"/>
    <xf numFmtId="0" fontId="21" fillId="0" borderId="30" xfId="0" applyFont="1" applyBorder="1"/>
    <xf numFmtId="0" fontId="0" fillId="0" borderId="31" xfId="0" applyBorder="1"/>
    <xf numFmtId="0" fontId="0" fillId="0" borderId="0" xfId="0" applyBorder="1" applyAlignment="1">
      <alignment horizontal="center" vertical="center"/>
    </xf>
    <xf numFmtId="2" fontId="0" fillId="6" borderId="28" xfId="0" applyNumberFormat="1" applyFill="1" applyBorder="1"/>
    <xf numFmtId="0" fontId="0" fillId="0" borderId="27" xfId="0" applyBorder="1"/>
    <xf numFmtId="0" fontId="0" fillId="7" borderId="24" xfId="0" applyFill="1" applyBorder="1"/>
    <xf numFmtId="0" fontId="0" fillId="7" borderId="0" xfId="0" applyFill="1" applyBorder="1"/>
    <xf numFmtId="2" fontId="0" fillId="7" borderId="25" xfId="0" applyNumberFormat="1" applyFill="1" applyBorder="1"/>
    <xf numFmtId="0" fontId="0" fillId="7" borderId="0" xfId="0" applyFill="1"/>
    <xf numFmtId="169" fontId="0" fillId="6" borderId="25" xfId="0" applyNumberFormat="1" applyFill="1" applyBorder="1"/>
    <xf numFmtId="0" fontId="0" fillId="6" borderId="28" xfId="0" applyFill="1" applyBorder="1"/>
    <xf numFmtId="0" fontId="0" fillId="0" borderId="24" xfId="0" applyBorder="1" applyAlignment="1">
      <alignment horizontal="left"/>
    </xf>
    <xf numFmtId="0" fontId="0" fillId="7" borderId="25" xfId="0" applyFill="1" applyBorder="1"/>
    <xf numFmtId="170" fontId="0" fillId="0" borderId="0" xfId="0" applyNumberFormat="1"/>
    <xf numFmtId="170" fontId="0" fillId="6" borderId="25" xfId="0" applyNumberFormat="1" applyFill="1" applyBorder="1"/>
    <xf numFmtId="0" fontId="0" fillId="7" borderId="26" xfId="0" applyFill="1" applyBorder="1"/>
    <xf numFmtId="0" fontId="0" fillId="7" borderId="27" xfId="0" applyFill="1" applyBorder="1"/>
    <xf numFmtId="170" fontId="0" fillId="7" borderId="28" xfId="0" applyNumberFormat="1" applyFill="1" applyBorder="1"/>
    <xf numFmtId="165" fontId="0" fillId="6" borderId="25" xfId="0" applyNumberFormat="1" applyFill="1" applyBorder="1"/>
    <xf numFmtId="166" fontId="0" fillId="0" borderId="0" xfId="0" applyNumberFormat="1"/>
    <xf numFmtId="0" fontId="0" fillId="9" borderId="24" xfId="0" applyFill="1" applyBorder="1"/>
    <xf numFmtId="0" fontId="0" fillId="9" borderId="0" xfId="0" applyFill="1" applyBorder="1"/>
    <xf numFmtId="0" fontId="0" fillId="9" borderId="25" xfId="0" applyFill="1" applyBorder="1"/>
    <xf numFmtId="0" fontId="0" fillId="8" borderId="25" xfId="0" applyFill="1" applyBorder="1"/>
    <xf numFmtId="171" fontId="0" fillId="6" borderId="25" xfId="0" applyNumberFormat="1" applyFill="1" applyBorder="1"/>
    <xf numFmtId="170" fontId="0" fillId="8" borderId="25" xfId="0" applyNumberFormat="1" applyFill="1" applyBorder="1"/>
    <xf numFmtId="172" fontId="0" fillId="0" borderId="0" xfId="0" applyNumberFormat="1" applyBorder="1"/>
    <xf numFmtId="171" fontId="0" fillId="8" borderId="25" xfId="0" applyNumberFormat="1" applyFill="1" applyBorder="1"/>
    <xf numFmtId="173" fontId="0" fillId="0" borderId="0" xfId="0" applyNumberFormat="1"/>
    <xf numFmtId="172" fontId="0" fillId="0" borderId="27" xfId="0" applyNumberFormat="1" applyBorder="1"/>
    <xf numFmtId="2" fontId="0" fillId="8" borderId="28" xfId="0" applyNumberFormat="1" applyFill="1" applyBorder="1"/>
    <xf numFmtId="2" fontId="0" fillId="8" borderId="25" xfId="0" applyNumberFormat="1" applyFill="1" applyBorder="1"/>
    <xf numFmtId="174" fontId="0" fillId="8" borderId="25" xfId="0" applyNumberFormat="1" applyFill="1" applyBorder="1"/>
    <xf numFmtId="174" fontId="0" fillId="6" borderId="25" xfId="0" applyNumberFormat="1" applyFill="1" applyBorder="1"/>
    <xf numFmtId="2" fontId="0" fillId="0" borderId="24" xfId="0" applyNumberFormat="1" applyBorder="1" applyAlignment="1">
      <alignment horizontal="left"/>
    </xf>
    <xf numFmtId="0" fontId="0" fillId="11" borderId="25" xfId="0" applyFill="1" applyBorder="1"/>
    <xf numFmtId="166" fontId="0" fillId="6" borderId="25" xfId="0" applyNumberFormat="1" applyFill="1" applyBorder="1"/>
    <xf numFmtId="166" fontId="0" fillId="6" borderId="28" xfId="0" applyNumberFormat="1" applyFill="1" applyBorder="1"/>
    <xf numFmtId="166" fontId="0" fillId="0" borderId="25" xfId="0" applyNumberFormat="1" applyBorder="1"/>
    <xf numFmtId="0" fontId="0" fillId="0" borderId="24" xfId="0" applyBorder="1" applyAlignment="1">
      <alignment horizontal="left" vertical="center"/>
    </xf>
    <xf numFmtId="0" fontId="0" fillId="0" borderId="24" xfId="0" applyFill="1" applyBorder="1"/>
    <xf numFmtId="0" fontId="0" fillId="2" borderId="0" xfId="0" applyFill="1" applyBorder="1"/>
    <xf numFmtId="164" fontId="0" fillId="6" borderId="25" xfId="0" applyNumberFormat="1" applyFill="1" applyBorder="1"/>
    <xf numFmtId="2" fontId="0" fillId="0" borderId="24" xfId="0" applyNumberFormat="1" applyBorder="1" applyAlignment="1">
      <alignment horizontal="left" vertical="center"/>
    </xf>
    <xf numFmtId="0" fontId="0" fillId="0" borderId="26" xfId="0" applyFill="1" applyBorder="1"/>
    <xf numFmtId="164" fontId="0" fillId="0" borderId="24" xfId="0" applyNumberFormat="1" applyBorder="1" applyAlignment="1">
      <alignment horizontal="left"/>
    </xf>
    <xf numFmtId="172" fontId="0" fillId="8" borderId="25" xfId="0" applyNumberFormat="1" applyFill="1" applyBorder="1"/>
    <xf numFmtId="172" fontId="0" fillId="6" borderId="25" xfId="0" applyNumberFormat="1" applyFill="1" applyBorder="1"/>
    <xf numFmtId="0" fontId="20" fillId="0" borderId="24" xfId="0" applyFont="1" applyBorder="1" applyAlignment="1">
      <alignment horizontal="left" vertical="center"/>
    </xf>
    <xf numFmtId="0" fontId="20" fillId="0" borderId="24" xfId="0" applyFont="1" applyBorder="1"/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/>
    <xf numFmtId="2" fontId="20" fillId="0" borderId="25" xfId="0" applyNumberFormat="1" applyFont="1" applyBorder="1"/>
    <xf numFmtId="2" fontId="20" fillId="0" borderId="0" xfId="0" applyNumberFormat="1" applyFont="1"/>
    <xf numFmtId="0" fontId="0" fillId="0" borderId="25" xfId="0" applyFill="1" applyBorder="1"/>
    <xf numFmtId="0" fontId="0" fillId="0" borderId="0" xfId="0" applyFill="1" applyBorder="1" applyAlignment="1">
      <alignment horizontal="center" vertical="center"/>
    </xf>
    <xf numFmtId="1" fontId="0" fillId="0" borderId="25" xfId="0" applyNumberFormat="1" applyBorder="1"/>
    <xf numFmtId="0" fontId="0" fillId="0" borderId="24" xfId="0" applyBorder="1" applyAlignment="1">
      <alignment wrapText="1"/>
    </xf>
    <xf numFmtId="1" fontId="0" fillId="0" borderId="25" xfId="0" applyNumberFormat="1" applyBorder="1" applyAlignment="1">
      <alignment vertical="center"/>
    </xf>
    <xf numFmtId="1" fontId="0" fillId="0" borderId="0" xfId="0" applyNumberFormat="1"/>
    <xf numFmtId="2" fontId="0" fillId="0" borderId="24" xfId="0" applyNumberFormat="1" applyBorder="1"/>
    <xf numFmtId="0" fontId="23" fillId="0" borderId="24" xfId="0" applyFont="1" applyBorder="1"/>
    <xf numFmtId="171" fontId="0" fillId="0" borderId="25" xfId="0" applyNumberFormat="1" applyBorder="1"/>
    <xf numFmtId="172" fontId="0" fillId="0" borderId="25" xfId="0" applyNumberFormat="1" applyBorder="1"/>
    <xf numFmtId="2" fontId="0" fillId="0" borderId="25" xfId="0" applyNumberFormat="1" applyFill="1" applyBorder="1"/>
    <xf numFmtId="2" fontId="18" fillId="2" borderId="20" xfId="0" applyNumberFormat="1" applyFont="1" applyFill="1" applyBorder="1" applyAlignment="1">
      <alignment horizontal="left" vertical="center"/>
    </xf>
    <xf numFmtId="0" fontId="18" fillId="2" borderId="20" xfId="0" applyFont="1" applyFill="1" applyBorder="1" applyAlignment="1">
      <alignment vertical="center" wrapText="1"/>
    </xf>
    <xf numFmtId="0" fontId="18" fillId="2" borderId="21" xfId="0" applyFont="1" applyFill="1" applyBorder="1" applyAlignment="1">
      <alignment horizontal="center" vertical="center"/>
    </xf>
    <xf numFmtId="0" fontId="18" fillId="2" borderId="21" xfId="0" applyFont="1" applyFill="1" applyBorder="1" applyAlignment="1">
      <alignment vertical="center"/>
    </xf>
    <xf numFmtId="2" fontId="18" fillId="2" borderId="22" xfId="0" applyNumberFormat="1" applyFont="1" applyFill="1" applyBorder="1" applyAlignment="1">
      <alignment vertical="center"/>
    </xf>
    <xf numFmtId="0" fontId="24" fillId="0" borderId="0" xfId="0" applyFont="1" applyFill="1"/>
    <xf numFmtId="0" fontId="24" fillId="0" borderId="0" xfId="0" applyFont="1" applyFill="1" applyAlignment="1">
      <alignment vertical="center"/>
    </xf>
    <xf numFmtId="2" fontId="24" fillId="0" borderId="0" xfId="0" applyNumberFormat="1" applyFont="1" applyFill="1" applyAlignment="1">
      <alignment vertical="center"/>
    </xf>
    <xf numFmtId="2" fontId="0" fillId="0" borderId="1" xfId="0" applyNumberFormat="1" applyBorder="1"/>
    <xf numFmtId="0" fontId="25" fillId="0" borderId="16" xfId="0" applyFont="1" applyBorder="1"/>
    <xf numFmtId="0" fontId="25" fillId="0" borderId="1" xfId="0" applyFont="1" applyBorder="1"/>
    <xf numFmtId="1" fontId="0" fillId="0" borderId="1" xfId="0" applyNumberFormat="1" applyBorder="1"/>
    <xf numFmtId="0" fontId="20" fillId="2" borderId="1" xfId="0" applyFont="1" applyFill="1" applyBorder="1"/>
    <xf numFmtId="2" fontId="20" fillId="2" borderId="1" xfId="0" applyNumberFormat="1" applyFont="1" applyFill="1" applyBorder="1"/>
    <xf numFmtId="0" fontId="25" fillId="0" borderId="16" xfId="0" applyFont="1" applyFill="1" applyBorder="1"/>
    <xf numFmtId="2" fontId="20" fillId="2" borderId="3" xfId="0" applyNumberFormat="1" applyFont="1" applyFill="1" applyBorder="1"/>
    <xf numFmtId="0" fontId="25" fillId="0" borderId="12" xfId="0" applyFont="1" applyFill="1" applyBorder="1"/>
    <xf numFmtId="0" fontId="25" fillId="0" borderId="18" xfId="0" applyFont="1" applyBorder="1"/>
    <xf numFmtId="0" fontId="0" fillId="0" borderId="1" xfId="0" applyBorder="1" applyAlignment="1">
      <alignment horizontal="left" vertical="center"/>
    </xf>
    <xf numFmtId="0" fontId="0" fillId="12" borderId="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wrapText="1"/>
    </xf>
    <xf numFmtId="2" fontId="1" fillId="5" borderId="1" xfId="0" applyNumberFormat="1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13" borderId="25" xfId="0" applyNumberFormat="1" applyFill="1" applyBorder="1"/>
    <xf numFmtId="2" fontId="24" fillId="0" borderId="1" xfId="0" applyNumberFormat="1" applyFont="1" applyFill="1" applyBorder="1"/>
    <xf numFmtId="172" fontId="24" fillId="0" borderId="1" xfId="0" applyNumberFormat="1" applyFont="1" applyFill="1" applyBorder="1"/>
    <xf numFmtId="164" fontId="0" fillId="0" borderId="0" xfId="0" applyNumberFormat="1"/>
    <xf numFmtId="0" fontId="20" fillId="0" borderId="20" xfId="0" applyFont="1" applyBorder="1" applyAlignment="1">
      <alignment horizontal="center" vertical="center" wrapText="1"/>
    </xf>
    <xf numFmtId="0" fontId="20" fillId="0" borderId="22" xfId="0" applyFont="1" applyBorder="1" applyAlignment="1">
      <alignment vertical="center" wrapText="1"/>
    </xf>
    <xf numFmtId="0" fontId="20" fillId="0" borderId="0" xfId="0" applyFont="1" applyBorder="1" applyAlignment="1">
      <alignment vertical="center" wrapText="1"/>
    </xf>
    <xf numFmtId="0" fontId="20" fillId="0" borderId="19" xfId="0" applyFont="1" applyBorder="1" applyAlignment="1">
      <alignment vertical="center" wrapText="1"/>
    </xf>
    <xf numFmtId="2" fontId="25" fillId="9" borderId="17" xfId="0" applyNumberFormat="1" applyFont="1" applyFill="1" applyBorder="1" applyAlignment="1">
      <alignment horizontal="center" vertical="center"/>
    </xf>
    <xf numFmtId="0" fontId="25" fillId="9" borderId="17" xfId="0" applyFont="1" applyFill="1" applyBorder="1" applyAlignment="1">
      <alignment horizontal="center" vertical="center"/>
    </xf>
    <xf numFmtId="2" fontId="25" fillId="9" borderId="1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23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 wrapText="1"/>
    </xf>
    <xf numFmtId="0" fontId="20" fillId="0" borderId="33" xfId="0" applyFont="1" applyBorder="1" applyAlignment="1">
      <alignment horizontal="center" vertical="center" wrapText="1"/>
    </xf>
    <xf numFmtId="2" fontId="25" fillId="6" borderId="17" xfId="0" applyNumberFormat="1" applyFont="1" applyFill="1" applyBorder="1" applyAlignment="1">
      <alignment horizontal="center" vertical="center"/>
    </xf>
    <xf numFmtId="2" fontId="25" fillId="2" borderId="17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/>
    <xf numFmtId="0" fontId="0" fillId="14" borderId="0" xfId="0" applyFill="1"/>
    <xf numFmtId="2" fontId="0" fillId="14" borderId="0" xfId="0" applyNumberFormat="1" applyFill="1"/>
    <xf numFmtId="0" fontId="25" fillId="15" borderId="3" xfId="0" applyFont="1" applyFill="1" applyBorder="1" applyAlignment="1">
      <alignment horizontal="center" vertical="center"/>
    </xf>
    <xf numFmtId="0" fontId="29" fillId="2" borderId="13" xfId="0" applyFont="1" applyFill="1" applyBorder="1" applyAlignment="1">
      <alignment horizontal="right"/>
    </xf>
    <xf numFmtId="0" fontId="30" fillId="15" borderId="19" xfId="0" applyFont="1" applyFill="1" applyBorder="1" applyAlignment="1">
      <alignment horizontal="center" vertical="center"/>
    </xf>
    <xf numFmtId="0" fontId="30" fillId="15" borderId="33" xfId="0" applyFont="1" applyFill="1" applyBorder="1" applyAlignment="1">
      <alignment horizontal="center" vertical="center"/>
    </xf>
    <xf numFmtId="0" fontId="25" fillId="16" borderId="15" xfId="0" applyFont="1" applyFill="1" applyBorder="1" applyAlignment="1">
      <alignment horizontal="center" vertical="center"/>
    </xf>
    <xf numFmtId="0" fontId="25" fillId="16" borderId="17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5" fillId="16" borderId="14" xfId="0" applyFont="1" applyFill="1" applyBorder="1" applyAlignment="1">
      <alignment horizontal="center" vertical="center"/>
    </xf>
    <xf numFmtId="0" fontId="25" fillId="16" borderId="1" xfId="0" applyFont="1" applyFill="1" applyBorder="1"/>
    <xf numFmtId="0" fontId="25" fillId="16" borderId="44" xfId="0" applyFont="1" applyFill="1" applyBorder="1"/>
    <xf numFmtId="0" fontId="29" fillId="2" borderId="35" xfId="0" applyFont="1" applyFill="1" applyBorder="1" applyAlignment="1">
      <alignment horizontal="center" vertical="center"/>
    </xf>
    <xf numFmtId="0" fontId="20" fillId="2" borderId="37" xfId="0" applyFont="1" applyFill="1" applyBorder="1"/>
    <xf numFmtId="0" fontId="29" fillId="2" borderId="16" xfId="0" applyFont="1" applyFill="1" applyBorder="1" applyAlignment="1">
      <alignment horizontal="center" vertical="center"/>
    </xf>
    <xf numFmtId="0" fontId="29" fillId="2" borderId="12" xfId="0" applyFont="1" applyFill="1" applyBorder="1" applyAlignment="1">
      <alignment horizontal="center" vertical="center"/>
    </xf>
    <xf numFmtId="0" fontId="20" fillId="2" borderId="18" xfId="0" applyFont="1" applyFill="1" applyBorder="1"/>
    <xf numFmtId="0" fontId="25" fillId="16" borderId="23" xfId="0" applyFont="1" applyFill="1" applyBorder="1"/>
    <xf numFmtId="0" fontId="30" fillId="15" borderId="32" xfId="0" applyFont="1" applyFill="1" applyBorder="1" applyAlignment="1">
      <alignment horizontal="center" vertical="center"/>
    </xf>
    <xf numFmtId="0" fontId="25" fillId="16" borderId="16" xfId="0" applyFont="1" applyFill="1" applyBorder="1" applyAlignment="1">
      <alignment horizontal="center" vertical="center"/>
    </xf>
    <xf numFmtId="0" fontId="25" fillId="16" borderId="47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3" xfId="0" applyFont="1" applyFill="1" applyBorder="1" applyAlignment="1">
      <alignment horizontal="center" vertical="center"/>
    </xf>
    <xf numFmtId="0" fontId="25" fillId="0" borderId="5" xfId="0" applyFont="1" applyFill="1" applyBorder="1" applyAlignment="1">
      <alignment horizontal="center" vertical="center"/>
    </xf>
    <xf numFmtId="0" fontId="29" fillId="0" borderId="45" xfId="0" applyFont="1" applyBorder="1" applyAlignment="1">
      <alignment horizontal="center" vertical="center"/>
    </xf>
    <xf numFmtId="0" fontId="29" fillId="0" borderId="46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64" fontId="25" fillId="0" borderId="3" xfId="0" applyNumberFormat="1" applyFont="1" applyBorder="1" applyAlignment="1">
      <alignment horizontal="center" vertical="center"/>
    </xf>
    <xf numFmtId="164" fontId="25" fillId="0" borderId="3" xfId="0" applyNumberFormat="1" applyFont="1" applyFill="1" applyBorder="1" applyAlignment="1">
      <alignment horizontal="center" vertical="center"/>
    </xf>
    <xf numFmtId="164" fontId="25" fillId="0" borderId="5" xfId="0" applyNumberFormat="1" applyFont="1" applyFill="1" applyBorder="1" applyAlignment="1">
      <alignment horizontal="center" vertical="center"/>
    </xf>
    <xf numFmtId="164" fontId="29" fillId="0" borderId="45" xfId="0" applyNumberFormat="1" applyFont="1" applyBorder="1" applyAlignment="1">
      <alignment horizontal="center" vertical="center"/>
    </xf>
    <xf numFmtId="164" fontId="29" fillId="0" borderId="3" xfId="0" applyNumberFormat="1" applyFont="1" applyBorder="1" applyAlignment="1">
      <alignment horizontal="center" vertical="center"/>
    </xf>
    <xf numFmtId="164" fontId="29" fillId="0" borderId="46" xfId="0" applyNumberFormat="1" applyFont="1" applyBorder="1" applyAlignment="1">
      <alignment horizontal="center" vertical="center"/>
    </xf>
    <xf numFmtId="1" fontId="1" fillId="2" borderId="18" xfId="0" applyNumberFormat="1" applyFont="1" applyFill="1" applyBorder="1" applyAlignment="1">
      <alignment horizontal="center" vertical="center"/>
    </xf>
    <xf numFmtId="2" fontId="0" fillId="0" borderId="44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0" fontId="29" fillId="2" borderId="17" xfId="0" applyFont="1" applyFill="1" applyBorder="1" applyAlignment="1">
      <alignment horizontal="center"/>
    </xf>
    <xf numFmtId="0" fontId="0" fillId="19" borderId="14" xfId="0" applyFill="1" applyBorder="1" applyAlignment="1">
      <alignment horizontal="center" vertical="center"/>
    </xf>
    <xf numFmtId="0" fontId="36" fillId="15" borderId="19" xfId="0" applyFont="1" applyFill="1" applyBorder="1" applyAlignment="1">
      <alignment horizontal="center" vertical="center"/>
    </xf>
    <xf numFmtId="0" fontId="36" fillId="15" borderId="32" xfId="0" applyFont="1" applyFill="1" applyBorder="1" applyAlignment="1">
      <alignment horizontal="center" vertical="center"/>
    </xf>
    <xf numFmtId="0" fontId="36" fillId="15" borderId="1" xfId="0" applyFont="1" applyFill="1" applyBorder="1" applyAlignment="1">
      <alignment horizontal="center" vertical="center"/>
    </xf>
    <xf numFmtId="0" fontId="39" fillId="15" borderId="3" xfId="0" applyFont="1" applyFill="1" applyBorder="1" applyAlignment="1">
      <alignment horizontal="center" vertical="center"/>
    </xf>
    <xf numFmtId="0" fontId="39" fillId="16" borderId="16" xfId="0" applyFont="1" applyFill="1" applyBorder="1" applyAlignment="1">
      <alignment horizontal="center" vertical="center"/>
    </xf>
    <xf numFmtId="0" fontId="39" fillId="16" borderId="1" xfId="0" applyFont="1" applyFill="1" applyBorder="1"/>
    <xf numFmtId="164" fontId="39" fillId="0" borderId="3" xfId="0" applyNumberFormat="1" applyFont="1" applyFill="1" applyBorder="1" applyAlignment="1">
      <alignment horizontal="center" vertical="center"/>
    </xf>
    <xf numFmtId="164" fontId="39" fillId="0" borderId="5" xfId="0" applyNumberFormat="1" applyFont="1" applyFill="1" applyBorder="1" applyAlignment="1">
      <alignment horizontal="center" vertical="center"/>
    </xf>
    <xf numFmtId="0" fontId="38" fillId="2" borderId="35" xfId="0" applyFont="1" applyFill="1" applyBorder="1" applyAlignment="1">
      <alignment horizontal="center" vertical="center"/>
    </xf>
    <xf numFmtId="0" fontId="37" fillId="2" borderId="37" xfId="0" applyFont="1" applyFill="1" applyBorder="1"/>
    <xf numFmtId="0" fontId="38" fillId="2" borderId="16" xfId="0" applyFont="1" applyFill="1" applyBorder="1" applyAlignment="1">
      <alignment horizontal="center" vertical="center"/>
    </xf>
    <xf numFmtId="0" fontId="37" fillId="2" borderId="1" xfId="0" applyFont="1" applyFill="1" applyBorder="1"/>
    <xf numFmtId="0" fontId="38" fillId="2" borderId="12" xfId="0" applyFont="1" applyFill="1" applyBorder="1" applyAlignment="1">
      <alignment horizontal="center" vertical="center"/>
    </xf>
    <xf numFmtId="0" fontId="37" fillId="2" borderId="18" xfId="0" applyFont="1" applyFill="1" applyBorder="1"/>
    <xf numFmtId="0" fontId="38" fillId="0" borderId="0" xfId="0" applyFont="1" applyAlignment="1">
      <alignment horizontal="center" vertical="center"/>
    </xf>
    <xf numFmtId="0" fontId="36" fillId="15" borderId="34" xfId="0" applyFont="1" applyFill="1" applyBorder="1" applyAlignment="1">
      <alignment horizontal="center" vertical="center"/>
    </xf>
    <xf numFmtId="0" fontId="36" fillId="15" borderId="33" xfId="0" applyFont="1" applyFill="1" applyBorder="1" applyAlignment="1">
      <alignment horizontal="center" vertical="center"/>
    </xf>
    <xf numFmtId="0" fontId="39" fillId="16" borderId="17" xfId="0" applyFont="1" applyFill="1" applyBorder="1" applyAlignment="1">
      <alignment horizontal="center" vertical="center"/>
    </xf>
    <xf numFmtId="0" fontId="39" fillId="16" borderId="12" xfId="0" applyFont="1" applyFill="1" applyBorder="1" applyAlignment="1">
      <alignment horizontal="center" vertical="center"/>
    </xf>
    <xf numFmtId="0" fontId="39" fillId="16" borderId="18" xfId="0" applyFont="1" applyFill="1" applyBorder="1"/>
    <xf numFmtId="0" fontId="39" fillId="16" borderId="13" xfId="0" applyFont="1" applyFill="1" applyBorder="1" applyAlignment="1">
      <alignment horizontal="center" vertical="center"/>
    </xf>
    <xf numFmtId="0" fontId="39" fillId="16" borderId="51" xfId="0" applyFont="1" applyFill="1" applyBorder="1" applyAlignment="1">
      <alignment horizontal="center" vertical="center"/>
    </xf>
    <xf numFmtId="0" fontId="39" fillId="16" borderId="52" xfId="0" applyFont="1" applyFill="1" applyBorder="1" applyAlignment="1">
      <alignment horizontal="center" vertical="center"/>
    </xf>
    <xf numFmtId="0" fontId="39" fillId="16" borderId="53" xfId="0" applyFont="1" applyFill="1" applyBorder="1" applyAlignment="1">
      <alignment horizontal="center" vertical="center"/>
    </xf>
    <xf numFmtId="0" fontId="39" fillId="16" borderId="35" xfId="0" applyFont="1" applyFill="1" applyBorder="1" applyAlignment="1">
      <alignment horizontal="center" vertical="center"/>
    </xf>
    <xf numFmtId="0" fontId="39" fillId="16" borderId="37" xfId="0" applyFont="1" applyFill="1" applyBorder="1"/>
    <xf numFmtId="0" fontId="39" fillId="16" borderId="36" xfId="0" applyFont="1" applyFill="1" applyBorder="1" applyAlignment="1">
      <alignment horizontal="center" vertical="center"/>
    </xf>
    <xf numFmtId="0" fontId="38" fillId="2" borderId="36" xfId="0" applyFont="1" applyFill="1" applyBorder="1" applyAlignment="1">
      <alignment horizontal="center" vertical="center"/>
    </xf>
    <xf numFmtId="0" fontId="38" fillId="2" borderId="51" xfId="0" applyFont="1" applyFill="1" applyBorder="1" applyAlignment="1">
      <alignment horizontal="center" vertical="center"/>
    </xf>
    <xf numFmtId="0" fontId="38" fillId="2" borderId="52" xfId="0" applyFont="1" applyFill="1" applyBorder="1" applyAlignment="1">
      <alignment horizontal="center"/>
    </xf>
    <xf numFmtId="0" fontId="38" fillId="2" borderId="53" xfId="0" applyFont="1" applyFill="1" applyBorder="1" applyAlignment="1">
      <alignment horizontal="center"/>
    </xf>
    <xf numFmtId="0" fontId="38" fillId="0" borderId="3" xfId="0" applyFont="1" applyFill="1" applyBorder="1" applyAlignment="1">
      <alignment horizontal="center" vertical="center"/>
    </xf>
    <xf numFmtId="2" fontId="39" fillId="0" borderId="3" xfId="0" applyNumberFormat="1" applyFont="1" applyFill="1" applyBorder="1" applyAlignment="1">
      <alignment horizontal="center" vertical="center"/>
    </xf>
    <xf numFmtId="2" fontId="39" fillId="0" borderId="5" xfId="0" applyNumberFormat="1" applyFont="1" applyFill="1" applyBorder="1" applyAlignment="1">
      <alignment horizontal="center" vertical="center"/>
    </xf>
    <xf numFmtId="2" fontId="38" fillId="0" borderId="45" xfId="0" applyNumberFormat="1" applyFont="1" applyFill="1" applyBorder="1" applyAlignment="1">
      <alignment horizontal="center" vertical="center"/>
    </xf>
    <xf numFmtId="164" fontId="38" fillId="0" borderId="45" xfId="0" applyNumberFormat="1" applyFont="1" applyFill="1" applyBorder="1" applyAlignment="1">
      <alignment horizontal="center" vertical="center"/>
    </xf>
    <xf numFmtId="2" fontId="38" fillId="0" borderId="3" xfId="0" applyNumberFormat="1" applyFont="1" applyFill="1" applyBorder="1" applyAlignment="1">
      <alignment horizontal="center" vertical="center"/>
    </xf>
    <xf numFmtId="164" fontId="38" fillId="0" borderId="3" xfId="0" applyNumberFormat="1" applyFont="1" applyFill="1" applyBorder="1" applyAlignment="1">
      <alignment horizontal="center" vertical="center"/>
    </xf>
    <xf numFmtId="2" fontId="38" fillId="0" borderId="46" xfId="0" applyNumberFormat="1" applyFont="1" applyFill="1" applyBorder="1" applyAlignment="1">
      <alignment horizontal="center" vertical="center"/>
    </xf>
    <xf numFmtId="164" fontId="38" fillId="0" borderId="46" xfId="0" applyNumberFormat="1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2" fontId="38" fillId="0" borderId="1" xfId="0" applyNumberFormat="1" applyFont="1" applyFill="1" applyBorder="1" applyAlignment="1">
      <alignment horizontal="center" vertical="center"/>
    </xf>
    <xf numFmtId="2" fontId="38" fillId="0" borderId="44" xfId="0" applyNumberFormat="1" applyFont="1" applyFill="1" applyBorder="1" applyAlignment="1">
      <alignment horizontal="center" vertical="center"/>
    </xf>
    <xf numFmtId="0" fontId="38" fillId="0" borderId="44" xfId="0" applyFont="1" applyBorder="1" applyAlignment="1">
      <alignment horizontal="center" vertical="center"/>
    </xf>
    <xf numFmtId="2" fontId="38" fillId="0" borderId="37" xfId="0" applyNumberFormat="1" applyFont="1" applyFill="1" applyBorder="1" applyAlignment="1">
      <alignment horizontal="center" vertical="center"/>
    </xf>
    <xf numFmtId="0" fontId="38" fillId="0" borderId="37" xfId="0" applyFont="1" applyBorder="1" applyAlignment="1">
      <alignment horizontal="center" vertical="center"/>
    </xf>
    <xf numFmtId="2" fontId="38" fillId="0" borderId="18" xfId="0" applyNumberFormat="1" applyFont="1" applyFill="1" applyBorder="1" applyAlignment="1">
      <alignment horizontal="center" vertical="center"/>
    </xf>
    <xf numFmtId="0" fontId="38" fillId="0" borderId="18" xfId="0" applyFont="1" applyBorder="1" applyAlignment="1">
      <alignment horizontal="center" vertical="center"/>
    </xf>
    <xf numFmtId="0" fontId="38" fillId="0" borderId="0" xfId="0" applyFont="1"/>
    <xf numFmtId="0" fontId="38" fillId="0" borderId="0" xfId="0" applyFont="1" applyAlignment="1">
      <alignment horizontal="center"/>
    </xf>
    <xf numFmtId="0" fontId="36" fillId="15" borderId="3" xfId="0" applyFont="1" applyFill="1" applyBorder="1" applyAlignment="1">
      <alignment horizontal="center" vertical="center"/>
    </xf>
    <xf numFmtId="0" fontId="38" fillId="2" borderId="17" xfId="0" applyFont="1" applyFill="1" applyBorder="1" applyAlignment="1">
      <alignment horizontal="center"/>
    </xf>
    <xf numFmtId="0" fontId="40" fillId="0" borderId="0" xfId="0" applyFont="1" applyFill="1" applyBorder="1" applyAlignment="1">
      <alignment vertical="center"/>
    </xf>
    <xf numFmtId="0" fontId="41" fillId="0" borderId="0" xfId="0" applyFont="1" applyFill="1" applyBorder="1" applyAlignment="1">
      <alignment horizontal="center" vertical="center"/>
    </xf>
    <xf numFmtId="2" fontId="38" fillId="0" borderId="1" xfId="0" applyNumberFormat="1" applyFont="1" applyBorder="1" applyAlignment="1">
      <alignment horizontal="center" vertical="center"/>
    </xf>
    <xf numFmtId="2" fontId="38" fillId="0" borderId="44" xfId="0" applyNumberFormat="1" applyFont="1" applyBorder="1" applyAlignment="1">
      <alignment horizontal="center" vertical="center"/>
    </xf>
    <xf numFmtId="2" fontId="38" fillId="0" borderId="37" xfId="0" applyNumberFormat="1" applyFont="1" applyBorder="1" applyAlignment="1">
      <alignment horizontal="center" vertical="center"/>
    </xf>
    <xf numFmtId="2" fontId="38" fillId="0" borderId="18" xfId="0" applyNumberFormat="1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164" fontId="38" fillId="0" borderId="1" xfId="0" applyNumberFormat="1" applyFont="1" applyBorder="1" applyAlignment="1">
      <alignment horizontal="center" vertical="center"/>
    </xf>
    <xf numFmtId="164" fontId="38" fillId="0" borderId="44" xfId="0" applyNumberFormat="1" applyFont="1" applyBorder="1" applyAlignment="1">
      <alignment horizontal="center" vertical="center"/>
    </xf>
    <xf numFmtId="164" fontId="38" fillId="0" borderId="37" xfId="0" applyNumberFormat="1" applyFont="1" applyBorder="1" applyAlignment="1">
      <alignment horizontal="center" vertical="center"/>
    </xf>
    <xf numFmtId="164" fontId="38" fillId="0" borderId="18" xfId="0" applyNumberFormat="1" applyFont="1" applyBorder="1" applyAlignment="1">
      <alignment horizontal="center" vertical="center"/>
    </xf>
    <xf numFmtId="1" fontId="38" fillId="0" borderId="1" xfId="0" applyNumberFormat="1" applyFont="1" applyBorder="1" applyAlignment="1">
      <alignment horizontal="center" vertical="center"/>
    </xf>
    <xf numFmtId="1" fontId="38" fillId="0" borderId="44" xfId="0" applyNumberFormat="1" applyFont="1" applyBorder="1" applyAlignment="1">
      <alignment horizontal="center" vertical="center"/>
    </xf>
    <xf numFmtId="1" fontId="38" fillId="0" borderId="37" xfId="0" applyNumberFormat="1" applyFont="1" applyBorder="1" applyAlignment="1">
      <alignment horizontal="center" vertical="center"/>
    </xf>
    <xf numFmtId="1" fontId="38" fillId="0" borderId="1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applyNumberFormat="1" applyFont="1" applyAlignment="1">
      <alignment horizontal="right" vertical="center"/>
    </xf>
    <xf numFmtId="0" fontId="38" fillId="2" borderId="13" xfId="0" applyFont="1" applyFill="1" applyBorder="1" applyAlignment="1">
      <alignment horizontal="center"/>
    </xf>
    <xf numFmtId="175" fontId="46" fillId="0" borderId="0" xfId="0" applyNumberFormat="1" applyFont="1" applyAlignment="1">
      <alignment horizontal="right" vertical="center"/>
    </xf>
    <xf numFmtId="21" fontId="46" fillId="0" borderId="0" xfId="0" applyNumberFormat="1" applyFont="1" applyAlignment="1">
      <alignment horizontal="left" vertical="center"/>
    </xf>
    <xf numFmtId="0" fontId="47" fillId="18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49" fillId="0" borderId="0" xfId="0" applyFont="1" applyAlignment="1">
      <alignment horizontal="right" vertical="center"/>
    </xf>
    <xf numFmtId="0" fontId="50" fillId="0" borderId="0" xfId="0" applyFont="1" applyAlignment="1">
      <alignment horizontal="left" vertical="center"/>
    </xf>
    <xf numFmtId="0" fontId="49" fillId="0" borderId="0" xfId="0" applyFont="1" applyAlignment="1">
      <alignment vertical="center"/>
    </xf>
    <xf numFmtId="1" fontId="51" fillId="0" borderId="0" xfId="0" applyNumberFormat="1" applyFont="1" applyAlignment="1">
      <alignment horizontal="right" vertical="center"/>
    </xf>
    <xf numFmtId="0" fontId="51" fillId="0" borderId="0" xfId="0" applyFont="1" applyAlignment="1">
      <alignment horizontal="left" vertical="center"/>
    </xf>
    <xf numFmtId="0" fontId="52" fillId="0" borderId="0" xfId="0" applyFont="1" applyAlignment="1">
      <alignment vertical="center"/>
    </xf>
    <xf numFmtId="0" fontId="49" fillId="0" borderId="0" xfId="0" applyNumberFormat="1" applyFont="1" applyAlignment="1">
      <alignment horizontal="right" vertical="center"/>
    </xf>
    <xf numFmtId="0" fontId="0" fillId="0" borderId="0" xfId="0" applyFont="1"/>
    <xf numFmtId="0" fontId="53" fillId="0" borderId="0" xfId="0" applyFont="1" applyFill="1" applyBorder="1" applyAlignment="1">
      <alignment vertical="center"/>
    </xf>
    <xf numFmtId="0" fontId="53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2" fontId="0" fillId="2" borderId="17" xfId="0" applyNumberFormat="1" applyFill="1" applyBorder="1"/>
    <xf numFmtId="0" fontId="28" fillId="0" borderId="20" xfId="0" applyFont="1" applyBorder="1" applyAlignment="1">
      <alignment horizontal="center" vertical="center" wrapText="1"/>
    </xf>
    <xf numFmtId="0" fontId="28" fillId="0" borderId="21" xfId="0" applyFont="1" applyBorder="1" applyAlignment="1">
      <alignment horizontal="center" vertical="center" wrapText="1"/>
    </xf>
    <xf numFmtId="0" fontId="28" fillId="0" borderId="30" xfId="0" applyFont="1" applyBorder="1" applyAlignment="1">
      <alignment horizontal="center" vertical="center" wrapText="1"/>
    </xf>
    <xf numFmtId="0" fontId="28" fillId="0" borderId="31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7" fillId="0" borderId="21" xfId="0" applyFont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 wrapText="1"/>
    </xf>
    <xf numFmtId="0" fontId="0" fillId="2" borderId="0" xfId="0" applyFill="1" applyAlignment="1">
      <alignment horizontal="left" wrapText="1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20" fillId="0" borderId="21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36" fillId="17" borderId="38" xfId="0" applyFont="1" applyFill="1" applyBorder="1" applyAlignment="1">
      <alignment horizontal="right" vertical="center"/>
    </xf>
    <xf numFmtId="0" fontId="36" fillId="17" borderId="39" xfId="0" applyFont="1" applyFill="1" applyBorder="1" applyAlignment="1">
      <alignment horizontal="right" vertical="center"/>
    </xf>
    <xf numFmtId="0" fontId="36" fillId="17" borderId="40" xfId="0" applyFont="1" applyFill="1" applyBorder="1" applyAlignment="1">
      <alignment horizontal="right" vertical="center"/>
    </xf>
    <xf numFmtId="0" fontId="37" fillId="17" borderId="41" xfId="0" applyFont="1" applyFill="1" applyBorder="1" applyAlignment="1">
      <alignment horizontal="right"/>
    </xf>
    <xf numFmtId="0" fontId="37" fillId="17" borderId="42" xfId="0" applyFont="1" applyFill="1" applyBorder="1" applyAlignment="1">
      <alignment horizontal="right"/>
    </xf>
    <xf numFmtId="0" fontId="37" fillId="17" borderId="43" xfId="0" applyFont="1" applyFill="1" applyBorder="1" applyAlignment="1">
      <alignment horizontal="right"/>
    </xf>
    <xf numFmtId="0" fontId="37" fillId="17" borderId="54" xfId="0" applyFont="1" applyFill="1" applyBorder="1" applyAlignment="1">
      <alignment horizontal="right"/>
    </xf>
    <xf numFmtId="0" fontId="37" fillId="17" borderId="55" xfId="0" applyFont="1" applyFill="1" applyBorder="1" applyAlignment="1">
      <alignment horizontal="right"/>
    </xf>
    <xf numFmtId="0" fontId="37" fillId="17" borderId="56" xfId="0" applyFont="1" applyFill="1" applyBorder="1" applyAlignment="1">
      <alignment horizontal="right"/>
    </xf>
    <xf numFmtId="0" fontId="37" fillId="17" borderId="51" xfId="0" applyFont="1" applyFill="1" applyBorder="1" applyAlignment="1">
      <alignment horizontal="center" vertical="center" wrapText="1"/>
    </xf>
    <xf numFmtId="0" fontId="37" fillId="17" borderId="52" xfId="0" applyFont="1" applyFill="1" applyBorder="1" applyAlignment="1">
      <alignment horizontal="center" vertical="center" wrapText="1"/>
    </xf>
    <xf numFmtId="0" fontId="37" fillId="17" borderId="53" xfId="0" applyFont="1" applyFill="1" applyBorder="1" applyAlignment="1">
      <alignment horizontal="center" vertical="center" wrapText="1"/>
    </xf>
    <xf numFmtId="0" fontId="30" fillId="17" borderId="38" xfId="0" applyFont="1" applyFill="1" applyBorder="1" applyAlignment="1">
      <alignment horizontal="right" vertical="center"/>
    </xf>
    <xf numFmtId="0" fontId="30" fillId="17" borderId="39" xfId="0" applyFont="1" applyFill="1" applyBorder="1" applyAlignment="1">
      <alignment horizontal="right" vertical="center"/>
    </xf>
    <xf numFmtId="0" fontId="30" fillId="17" borderId="40" xfId="0" applyFont="1" applyFill="1" applyBorder="1" applyAlignment="1">
      <alignment horizontal="right" vertical="center"/>
    </xf>
    <xf numFmtId="0" fontId="20" fillId="17" borderId="41" xfId="0" applyFont="1" applyFill="1" applyBorder="1" applyAlignment="1">
      <alignment horizontal="right"/>
    </xf>
    <xf numFmtId="0" fontId="20" fillId="17" borderId="42" xfId="0" applyFont="1" applyFill="1" applyBorder="1" applyAlignment="1">
      <alignment horizontal="right"/>
    </xf>
    <xf numFmtId="0" fontId="20" fillId="17" borderId="43" xfId="0" applyFont="1" applyFill="1" applyBorder="1" applyAlignment="1">
      <alignment horizontal="right"/>
    </xf>
    <xf numFmtId="0" fontId="20" fillId="17" borderId="48" xfId="0" applyFont="1" applyFill="1" applyBorder="1" applyAlignment="1">
      <alignment horizontal="right"/>
    </xf>
    <xf numFmtId="0" fontId="20" fillId="17" borderId="10" xfId="0" applyFont="1" applyFill="1" applyBorder="1" applyAlignment="1">
      <alignment horizontal="right"/>
    </xf>
    <xf numFmtId="0" fontId="20" fillId="17" borderId="49" xfId="0" applyFont="1" applyFill="1" applyBorder="1" applyAlignment="1">
      <alignment horizontal="right"/>
    </xf>
    <xf numFmtId="0" fontId="1" fillId="0" borderId="19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23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1" fillId="0" borderId="23" xfId="0" applyFont="1" applyBorder="1" applyAlignment="1">
      <alignment horizontal="center" vertical="center" wrapText="1"/>
    </xf>
  </cellXfs>
  <cellStyles count="19">
    <cellStyle name="Comma 2" xfId="5"/>
    <cellStyle name="Comma 2 2" xfId="6"/>
    <cellStyle name="Comma 2 2 2" xfId="8"/>
    <cellStyle name="Comma 2 3" xfId="7"/>
    <cellStyle name="Hyperlink" xfId="3" builtinId="8"/>
    <cellStyle name="Normal" xfId="0" builtinId="0"/>
    <cellStyle name="Normal 10" xfId="17"/>
    <cellStyle name="Normal 11" xfId="18"/>
    <cellStyle name="Normal 2" xfId="1"/>
    <cellStyle name="Normal 3" xfId="2"/>
    <cellStyle name="Normal 3 2" xfId="12"/>
    <cellStyle name="Normal 4" xfId="10"/>
    <cellStyle name="Normal 5" xfId="11"/>
    <cellStyle name="Normal 6" xfId="13"/>
    <cellStyle name="Normal 61 2" xfId="4"/>
    <cellStyle name="Normal 62" xfId="9"/>
    <cellStyle name="Normal 7" xfId="14"/>
    <cellStyle name="Normal 8" xfId="15"/>
    <cellStyle name="Normal 9" xfId="16"/>
  </cellStyles>
  <dxfs count="0"/>
  <tableStyles count="0" defaultTableStyle="TableStyleMedium2" defaultPivotStyle="PivotStyleLight16"/>
  <colors>
    <mruColors>
      <color rgb="FF66FFCC"/>
      <color rgb="FF75FFC7"/>
      <color rgb="FFCC66FF"/>
      <color rgb="FF00CC99"/>
      <color rgb="FFFFFFCC"/>
      <color rgb="FFCC99FF"/>
      <color rgb="FFCF40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1371600</xdr:colOff>
          <xdr:row>2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ILER%20EFFICIENCY%20MASTER_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CS_ReportU1"/>
      <sheetName val="Inputs"/>
      <sheetName val="Boiler Efficiency"/>
      <sheetName val="Heat Rate"/>
      <sheetName val="Conversion"/>
    </sheetNames>
    <sheetDataSet>
      <sheetData sheetId="0" refreshError="1"/>
      <sheetData sheetId="1" refreshError="1"/>
      <sheetData sheetId="2">
        <row r="2">
          <cell r="A2" t="str">
            <v>Unit - #1
Date &amp; Time -22/09/20</v>
          </cell>
        </row>
        <row r="44">
          <cell r="C44">
            <v>28.0152</v>
          </cell>
        </row>
      </sheetData>
      <sheetData sheetId="3">
        <row r="304">
          <cell r="J304" t="e">
            <v>#NAME?</v>
          </cell>
        </row>
      </sheetData>
      <sheetData sheetId="4" refreshError="1"/>
      <sheetData sheetId="5">
        <row r="5">
          <cell r="B5">
            <v>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x-eng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magnus@x-eng.com" TargetMode="External"/><Relationship Id="rId1" Type="http://schemas.openxmlformats.org/officeDocument/2006/relationships/hyperlink" Target="http://www.x-eng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9"/>
  <sheetViews>
    <sheetView workbookViewId="0">
      <selection activeCell="J32" sqref="J32"/>
    </sheetView>
  </sheetViews>
  <sheetFormatPr defaultRowHeight="15" x14ac:dyDescent="0.25"/>
  <cols>
    <col min="1" max="1" width="2.5703125" customWidth="1"/>
    <col min="2" max="2" width="21" customWidth="1"/>
    <col min="5" max="5" width="4.7109375" customWidth="1"/>
    <col min="6" max="6" width="20.7109375" customWidth="1"/>
  </cols>
  <sheetData>
    <row r="1" spans="1:10" ht="18" x14ac:dyDescent="0.25">
      <c r="B1" s="2" t="s">
        <v>2</v>
      </c>
    </row>
    <row r="2" spans="1:10" s="3" customFormat="1" ht="12.75" x14ac:dyDescent="0.2">
      <c r="B2" s="4" t="s">
        <v>3</v>
      </c>
      <c r="D2" s="4" t="s">
        <v>4</v>
      </c>
    </row>
    <row r="3" spans="1:10" s="3" customFormat="1" ht="12.75" x14ac:dyDescent="0.2">
      <c r="B3" s="4" t="s">
        <v>5</v>
      </c>
      <c r="D3" s="4" t="s">
        <v>6</v>
      </c>
      <c r="H3" s="5"/>
      <c r="I3" s="5"/>
    </row>
    <row r="4" spans="1:10" x14ac:dyDescent="0.25">
      <c r="B4" s="6" t="s">
        <v>7</v>
      </c>
      <c r="D4" s="4" t="s">
        <v>8</v>
      </c>
      <c r="H4" s="5"/>
      <c r="I4" s="5"/>
      <c r="J4" s="3"/>
    </row>
    <row r="5" spans="1:10" x14ac:dyDescent="0.25">
      <c r="B5" s="7"/>
      <c r="H5" s="5"/>
      <c r="I5" s="5"/>
      <c r="J5" s="3"/>
    </row>
    <row r="6" spans="1:10" x14ac:dyDescent="0.25">
      <c r="B6" s="8" t="s">
        <v>9</v>
      </c>
      <c r="C6" s="9"/>
      <c r="D6" s="9"/>
      <c r="E6" s="9"/>
      <c r="F6" s="8" t="s">
        <v>10</v>
      </c>
      <c r="G6" s="9"/>
      <c r="H6" s="9"/>
    </row>
    <row r="7" spans="1:10" x14ac:dyDescent="0.25">
      <c r="A7" s="1"/>
      <c r="B7" s="10" t="s">
        <v>11</v>
      </c>
      <c r="C7" s="11">
        <v>100</v>
      </c>
      <c r="D7" s="12" t="s">
        <v>12</v>
      </c>
      <c r="E7" s="9"/>
      <c r="F7" s="10" t="s">
        <v>13</v>
      </c>
      <c r="G7" s="13">
        <v>12.57</v>
      </c>
      <c r="H7" s="12" t="s">
        <v>14</v>
      </c>
      <c r="I7" s="1"/>
    </row>
    <row r="8" spans="1:10" x14ac:dyDescent="0.25">
      <c r="A8" s="1"/>
      <c r="B8" s="14" t="s">
        <v>15</v>
      </c>
      <c r="C8" s="15">
        <f>psat_t(C7)</f>
        <v>1.0141797792131013</v>
      </c>
      <c r="D8" s="16" t="s">
        <v>14</v>
      </c>
      <c r="E8" s="9"/>
      <c r="F8" s="14" t="s">
        <v>16</v>
      </c>
      <c r="G8" s="17">
        <f>Tsat_p(G7)</f>
        <v>190.0720101494847</v>
      </c>
      <c r="H8" s="16" t="s">
        <v>12</v>
      </c>
      <c r="I8" s="1"/>
    </row>
    <row r="9" spans="1:10" x14ac:dyDescent="0.25">
      <c r="A9" s="1"/>
      <c r="B9" s="18" t="s">
        <v>17</v>
      </c>
      <c r="C9" s="1"/>
      <c r="D9" s="16"/>
      <c r="F9" s="18" t="s">
        <v>17</v>
      </c>
      <c r="G9" s="1"/>
      <c r="H9" s="16"/>
      <c r="I9" s="1"/>
    </row>
    <row r="10" spans="1:10" x14ac:dyDescent="0.25">
      <c r="A10" s="1"/>
      <c r="B10" s="14" t="s">
        <v>18</v>
      </c>
      <c r="C10" s="19">
        <f>hL_T(C7)</f>
        <v>419.09915499770312</v>
      </c>
      <c r="D10" s="16" t="s">
        <v>19</v>
      </c>
      <c r="E10" s="9"/>
      <c r="F10" s="14" t="s">
        <v>18</v>
      </c>
      <c r="G10" s="19">
        <f>hL_p(G7)</f>
        <v>807.88713916160611</v>
      </c>
      <c r="H10" s="16" t="s">
        <v>19</v>
      </c>
      <c r="I10" s="1"/>
    </row>
    <row r="11" spans="1:10" x14ac:dyDescent="0.25">
      <c r="A11" s="1"/>
      <c r="B11" s="14" t="s">
        <v>20</v>
      </c>
      <c r="C11" s="17">
        <f>rhoL_T(C7)</f>
        <v>958.35427728589013</v>
      </c>
      <c r="D11" s="16" t="s">
        <v>21</v>
      </c>
      <c r="E11" s="9"/>
      <c r="F11" s="14" t="s">
        <v>20</v>
      </c>
      <c r="G11" s="17">
        <f>rhoL_P(G7)</f>
        <v>876.00369063972801</v>
      </c>
      <c r="H11" s="16" t="s">
        <v>21</v>
      </c>
      <c r="I11" s="1"/>
    </row>
    <row r="12" spans="1:10" x14ac:dyDescent="0.25">
      <c r="A12" s="1"/>
      <c r="B12" s="14" t="s">
        <v>22</v>
      </c>
      <c r="C12" s="17">
        <f>sL_T(C7)</f>
        <v>1.3070143278413395</v>
      </c>
      <c r="D12" s="16" t="s">
        <v>23</v>
      </c>
      <c r="E12" s="9"/>
      <c r="F12" s="14" t="s">
        <v>22</v>
      </c>
      <c r="G12" s="17">
        <f>sL_p(G7)</f>
        <v>2.2364689876704964</v>
      </c>
      <c r="H12" s="16" t="s">
        <v>23</v>
      </c>
      <c r="I12" s="1"/>
    </row>
    <row r="13" spans="1:10" x14ac:dyDescent="0.25">
      <c r="A13" s="1"/>
      <c r="B13" s="20" t="s">
        <v>24</v>
      </c>
      <c r="C13" s="1"/>
      <c r="D13" s="16"/>
      <c r="F13" s="20" t="s">
        <v>24</v>
      </c>
      <c r="G13" s="1"/>
      <c r="H13" s="16"/>
      <c r="I13" s="1"/>
    </row>
    <row r="14" spans="1:10" x14ac:dyDescent="0.25">
      <c r="A14" s="1"/>
      <c r="B14" s="14" t="s">
        <v>25</v>
      </c>
      <c r="C14" s="19">
        <f>hV_T(C7)</f>
        <v>2675.5720292208343</v>
      </c>
      <c r="D14" s="16" t="s">
        <v>19</v>
      </c>
      <c r="E14" s="9"/>
      <c r="F14" s="14" t="s">
        <v>25</v>
      </c>
      <c r="G14" s="19">
        <f>hV_p(G7)</f>
        <v>2785.3645430359766</v>
      </c>
      <c r="H14" s="16" t="s">
        <v>19</v>
      </c>
      <c r="I14" s="1"/>
    </row>
    <row r="15" spans="1:10" x14ac:dyDescent="0.25">
      <c r="A15" s="1"/>
      <c r="B15" s="14" t="s">
        <v>26</v>
      </c>
      <c r="C15" s="17">
        <f>rhoV_T(C7)</f>
        <v>0.59813599252570293</v>
      </c>
      <c r="D15" s="16" t="s">
        <v>21</v>
      </c>
      <c r="E15" s="9"/>
      <c r="F15" s="14" t="s">
        <v>26</v>
      </c>
      <c r="G15" s="17">
        <f>rhoV_p(G7)</f>
        <v>6.4045082049427524</v>
      </c>
      <c r="H15" s="16" t="s">
        <v>21</v>
      </c>
      <c r="I15" s="1"/>
    </row>
    <row r="16" spans="1:10" x14ac:dyDescent="0.25">
      <c r="A16" s="1"/>
      <c r="B16" s="14" t="s">
        <v>27</v>
      </c>
      <c r="C16" s="17">
        <f>sV_T(C7)</f>
        <v>7.3540770509584048</v>
      </c>
      <c r="D16" s="16" t="s">
        <v>23</v>
      </c>
      <c r="E16" s="9"/>
      <c r="F16" s="14" t="s">
        <v>28</v>
      </c>
      <c r="G16" s="17">
        <f>sV_p(G7)</f>
        <v>6.5054497650746752</v>
      </c>
      <c r="H16" s="16" t="s">
        <v>23</v>
      </c>
      <c r="I16" s="1"/>
    </row>
    <row r="17" spans="1:9" x14ac:dyDescent="0.25">
      <c r="A17" s="1"/>
      <c r="B17" s="21" t="s">
        <v>29</v>
      </c>
      <c r="C17" s="22">
        <f>C14-C10</f>
        <v>2256.4728742231314</v>
      </c>
      <c r="D17" s="23" t="s">
        <v>19</v>
      </c>
      <c r="E17" s="9"/>
      <c r="F17" s="21" t="s">
        <v>29</v>
      </c>
      <c r="G17" s="22">
        <f>G14-G10</f>
        <v>1977.4774038743703</v>
      </c>
      <c r="H17" s="23" t="s">
        <v>19</v>
      </c>
      <c r="I17" s="1"/>
    </row>
    <row r="18" spans="1:9" x14ac:dyDescent="0.25">
      <c r="A18" s="1"/>
      <c r="I18" s="1"/>
    </row>
    <row r="19" spans="1:9" x14ac:dyDescent="0.25">
      <c r="A19" s="1"/>
      <c r="B19" s="8" t="s">
        <v>30</v>
      </c>
      <c r="C19" s="9"/>
      <c r="D19" s="9"/>
      <c r="E19" s="9"/>
      <c r="F19" s="8" t="s">
        <v>31</v>
      </c>
      <c r="G19" s="9"/>
      <c r="H19" s="9"/>
      <c r="I19" s="1"/>
    </row>
    <row r="20" spans="1:9" x14ac:dyDescent="0.25">
      <c r="A20" s="1"/>
      <c r="B20" s="10" t="s">
        <v>13</v>
      </c>
      <c r="C20" s="11">
        <v>2</v>
      </c>
      <c r="D20" s="12" t="s">
        <v>14</v>
      </c>
      <c r="E20" s="9"/>
      <c r="F20" s="10" t="s">
        <v>13</v>
      </c>
      <c r="G20" s="11">
        <v>12.57</v>
      </c>
      <c r="H20" s="12" t="s">
        <v>14</v>
      </c>
      <c r="I20" s="1"/>
    </row>
    <row r="21" spans="1:9" x14ac:dyDescent="0.25">
      <c r="A21" s="1"/>
      <c r="B21" s="24" t="s">
        <v>11</v>
      </c>
      <c r="C21" s="25">
        <v>222</v>
      </c>
      <c r="D21" s="26" t="s">
        <v>12</v>
      </c>
      <c r="E21" s="1"/>
      <c r="F21" s="24" t="s">
        <v>18</v>
      </c>
      <c r="G21" s="25">
        <v>2788</v>
      </c>
      <c r="H21" s="26" t="s">
        <v>19</v>
      </c>
      <c r="I21" s="1"/>
    </row>
    <row r="22" spans="1:9" x14ac:dyDescent="0.25">
      <c r="A22" s="1"/>
      <c r="B22" s="14" t="s">
        <v>18</v>
      </c>
      <c r="C22" s="19">
        <f>h_pt(C20,C21)</f>
        <v>2915.0144937547016</v>
      </c>
      <c r="D22" s="16" t="s">
        <v>19</v>
      </c>
      <c r="E22" s="1"/>
      <c r="F22" s="14" t="s">
        <v>11</v>
      </c>
      <c r="G22" s="19">
        <f>T_ph(G20,G21)</f>
        <v>190.99878517007232</v>
      </c>
      <c r="H22" s="16" t="s">
        <v>12</v>
      </c>
      <c r="I22" s="1"/>
    </row>
    <row r="23" spans="1:9" x14ac:dyDescent="0.25">
      <c r="A23" s="1"/>
      <c r="B23" s="14" t="s">
        <v>20</v>
      </c>
      <c r="C23" s="17">
        <f>rho_pT(C20,C21)</f>
        <v>0.88277436160453648</v>
      </c>
      <c r="D23" s="16" t="s">
        <v>21</v>
      </c>
      <c r="E23" s="1"/>
      <c r="F23" s="14" t="s">
        <v>20</v>
      </c>
      <c r="G23" s="17">
        <f>rho_ph(G20,G21)</f>
        <v>6.3855415554886008</v>
      </c>
      <c r="H23" s="16" t="s">
        <v>21</v>
      </c>
      <c r="I23" s="1"/>
    </row>
    <row r="24" spans="1:9" x14ac:dyDescent="0.25">
      <c r="A24" s="1"/>
      <c r="B24" s="14" t="s">
        <v>22</v>
      </c>
      <c r="C24" s="17">
        <f>s_pT(C20,C21)</f>
        <v>7.5994968064397783</v>
      </c>
      <c r="D24" s="27" t="s">
        <v>23</v>
      </c>
      <c r="E24" s="1"/>
      <c r="F24" s="14" t="s">
        <v>22</v>
      </c>
      <c r="G24" s="17">
        <f>s_ph(G20,G21)</f>
        <v>6.5111125817764135</v>
      </c>
      <c r="H24" s="16" t="s">
        <v>23</v>
      </c>
      <c r="I24" s="1"/>
    </row>
    <row r="25" spans="1:9" x14ac:dyDescent="0.25">
      <c r="A25" s="1"/>
      <c r="B25" s="28" t="s">
        <v>32</v>
      </c>
      <c r="C25">
        <f>x_ph(C20,C22)*100</f>
        <v>100</v>
      </c>
      <c r="D25" s="29" t="s">
        <v>1</v>
      </c>
      <c r="F25" s="28" t="s">
        <v>32</v>
      </c>
      <c r="G25">
        <f>x_ph(G20,G21)*100</f>
        <v>100</v>
      </c>
      <c r="H25" s="29" t="s">
        <v>1</v>
      </c>
      <c r="I25" s="1"/>
    </row>
    <row r="26" spans="1:9" x14ac:dyDescent="0.25">
      <c r="A26" s="1"/>
      <c r="B26" s="14" t="s">
        <v>33</v>
      </c>
      <c r="C26" s="1">
        <f>region_pt(C20/10,C21+273.15)</f>
        <v>2</v>
      </c>
      <c r="D26" s="16"/>
      <c r="E26" s="1"/>
      <c r="F26" s="14" t="s">
        <v>33</v>
      </c>
      <c r="G26" s="1">
        <f>region_ph(G20/10,G21)</f>
        <v>2</v>
      </c>
      <c r="H26" s="16"/>
      <c r="I26" s="1"/>
    </row>
    <row r="27" spans="1:9" x14ac:dyDescent="0.25">
      <c r="A27" s="1"/>
      <c r="B27" s="14" t="s">
        <v>34</v>
      </c>
      <c r="C27" s="30" t="str">
        <f>IF(C26=2,"Steam",IF(C26=1,"Liquid",IF(C26=4,"Mixture","")))</f>
        <v>Steam</v>
      </c>
      <c r="D27" s="16"/>
      <c r="E27" s="1"/>
      <c r="F27" s="14" t="s">
        <v>34</v>
      </c>
      <c r="G27" s="30" t="str">
        <f>IF(G26=2,"Steam",IF(G26=1,"Liquid",IF(G26=4,"Mixture","")))</f>
        <v>Steam</v>
      </c>
      <c r="H27" s="16"/>
      <c r="I27" s="1"/>
    </row>
    <row r="28" spans="1:9" x14ac:dyDescent="0.25">
      <c r="B28" s="14" t="s">
        <v>35</v>
      </c>
      <c r="C28" s="1">
        <f>Cp_pT(C20,C21)</f>
        <v>2.0086641997331736</v>
      </c>
      <c r="D28" s="16" t="s">
        <v>19</v>
      </c>
      <c r="F28" s="14" t="s">
        <v>35</v>
      </c>
      <c r="G28" s="1">
        <f>Cp_ph(G20,G21)</f>
        <v>2.819479422450438</v>
      </c>
      <c r="H28" s="16" t="s">
        <v>19</v>
      </c>
    </row>
    <row r="29" spans="1:9" x14ac:dyDescent="0.25">
      <c r="B29" s="21" t="s">
        <v>36</v>
      </c>
      <c r="C29" s="31">
        <f>w_pT(C20,C21)</f>
        <v>544.33511606919251</v>
      </c>
      <c r="D29" s="23" t="s">
        <v>37</v>
      </c>
      <c r="F29" s="21" t="s">
        <v>36</v>
      </c>
      <c r="G29" s="31">
        <f>w_ph(G20,G21)</f>
        <v>503.55121714205848</v>
      </c>
      <c r="H29" s="23" t="s">
        <v>37</v>
      </c>
    </row>
  </sheetData>
  <hyperlinks>
    <hyperlink ref="B4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50"/>
  <sheetViews>
    <sheetView workbookViewId="0">
      <selection activeCell="J32" sqref="J32"/>
    </sheetView>
  </sheetViews>
  <sheetFormatPr defaultRowHeight="15" outlineLevelRow="1" x14ac:dyDescent="0.25"/>
  <cols>
    <col min="1" max="1" width="24.140625" customWidth="1"/>
    <col min="2" max="2" width="4.7109375" customWidth="1"/>
    <col min="3" max="3" width="7.7109375" customWidth="1"/>
    <col min="4" max="4" width="4.7109375" customWidth="1"/>
    <col min="5" max="5" width="8.28515625" customWidth="1"/>
    <col min="6" max="6" width="10.42578125" style="5" bestFit="1" customWidth="1"/>
    <col min="7" max="7" width="9.140625" style="5"/>
    <col min="8" max="8" width="7.5703125" style="3" customWidth="1"/>
  </cols>
  <sheetData>
    <row r="1" spans="1:8" s="32" customFormat="1" ht="18" x14ac:dyDescent="0.25">
      <c r="A1" s="2" t="s">
        <v>2</v>
      </c>
      <c r="D1" s="3" t="s">
        <v>38</v>
      </c>
      <c r="E1" s="33" t="s">
        <v>39</v>
      </c>
      <c r="F1" s="2"/>
      <c r="G1" s="2"/>
    </row>
    <row r="2" spans="1:8" s="34" customFormat="1" ht="11.25" x14ac:dyDescent="0.2">
      <c r="A2" s="34" t="s">
        <v>40</v>
      </c>
    </row>
    <row r="3" spans="1:8" s="4" customFormat="1" ht="11.25" x14ac:dyDescent="0.2">
      <c r="A3" s="4" t="s">
        <v>41</v>
      </c>
    </row>
    <row r="4" spans="1:8" s="4" customFormat="1" ht="11.25" x14ac:dyDescent="0.2">
      <c r="A4" s="4" t="s">
        <v>42</v>
      </c>
      <c r="F4" s="6" t="s">
        <v>43</v>
      </c>
    </row>
    <row r="5" spans="1:8" s="4" customFormat="1" ht="11.25" x14ac:dyDescent="0.2">
      <c r="A5" s="4" t="s">
        <v>6</v>
      </c>
    </row>
    <row r="6" spans="1:8" x14ac:dyDescent="0.25">
      <c r="A6" s="34" t="s">
        <v>8</v>
      </c>
      <c r="B6" s="3"/>
      <c r="C6" s="3"/>
      <c r="D6" s="3"/>
      <c r="E6" s="3"/>
      <c r="F6" s="3"/>
      <c r="G6" s="3"/>
    </row>
    <row r="7" spans="1:8" x14ac:dyDescent="0.25">
      <c r="A7" s="34"/>
      <c r="B7" s="3"/>
      <c r="C7" s="3"/>
      <c r="D7" s="3"/>
      <c r="E7" s="3"/>
      <c r="F7" s="3"/>
      <c r="G7" s="3"/>
    </row>
    <row r="8" spans="1:8" s="36" customFormat="1" x14ac:dyDescent="0.2">
      <c r="A8" s="35" t="s">
        <v>11</v>
      </c>
      <c r="F8" s="37"/>
      <c r="G8" s="37"/>
    </row>
    <row r="9" spans="1:8" s="4" customFormat="1" ht="12.75" outlineLevel="1" x14ac:dyDescent="0.2">
      <c r="A9" s="5" t="s">
        <v>44</v>
      </c>
      <c r="B9" s="3">
        <v>1</v>
      </c>
      <c r="C9" s="3" t="s">
        <v>45</v>
      </c>
      <c r="D9" s="3"/>
      <c r="E9" s="3"/>
      <c r="F9" s="5">
        <f>Tsat_p(B9)</f>
        <v>99.605918611337643</v>
      </c>
      <c r="G9" s="5" t="s">
        <v>12</v>
      </c>
      <c r="H9" s="3" t="s">
        <v>16</v>
      </c>
    </row>
    <row r="10" spans="1:8" s="4" customFormat="1" ht="12.75" outlineLevel="1" x14ac:dyDescent="0.2">
      <c r="A10" s="5" t="s">
        <v>46</v>
      </c>
      <c r="B10" s="3">
        <v>1</v>
      </c>
      <c r="C10" s="3" t="s">
        <v>45</v>
      </c>
      <c r="D10" s="3">
        <v>100</v>
      </c>
      <c r="E10" s="3" t="s">
        <v>19</v>
      </c>
      <c r="F10" s="5">
        <f>T_ph(B10,D10)</f>
        <v>23.844819075324835</v>
      </c>
      <c r="G10" s="5" t="s">
        <v>12</v>
      </c>
      <c r="H10" s="3" t="s">
        <v>47</v>
      </c>
    </row>
    <row r="11" spans="1:8" s="4" customFormat="1" ht="12.75" outlineLevel="1" x14ac:dyDescent="0.2">
      <c r="A11" s="5" t="s">
        <v>48</v>
      </c>
      <c r="B11" s="3">
        <v>1</v>
      </c>
      <c r="C11" s="3" t="s">
        <v>45</v>
      </c>
      <c r="D11" s="3">
        <v>1</v>
      </c>
      <c r="E11" s="3" t="s">
        <v>49</v>
      </c>
      <c r="F11" s="5">
        <f>T_ps(B11,D11)</f>
        <v>73.708594214408663</v>
      </c>
      <c r="G11" s="5" t="s">
        <v>12</v>
      </c>
      <c r="H11" s="3" t="s">
        <v>50</v>
      </c>
    </row>
    <row r="12" spans="1:8" s="4" customFormat="1" ht="12.75" outlineLevel="1" x14ac:dyDescent="0.2">
      <c r="A12" s="5" t="s">
        <v>51</v>
      </c>
      <c r="B12" s="3">
        <v>100</v>
      </c>
      <c r="C12" s="3" t="s">
        <v>19</v>
      </c>
      <c r="D12" s="3">
        <v>0.2</v>
      </c>
      <c r="E12" s="3" t="s">
        <v>49</v>
      </c>
      <c r="F12" s="5">
        <f>T_hs(B12,D12)</f>
        <v>13.849335111872563</v>
      </c>
      <c r="G12" s="5" t="s">
        <v>12</v>
      </c>
      <c r="H12" s="3" t="s">
        <v>52</v>
      </c>
    </row>
    <row r="13" spans="1:8" s="36" customFormat="1" x14ac:dyDescent="0.2">
      <c r="A13" s="35" t="s">
        <v>13</v>
      </c>
      <c r="F13" s="37"/>
      <c r="G13" s="37"/>
    </row>
    <row r="14" spans="1:8" s="4" customFormat="1" ht="12.75" outlineLevel="1" x14ac:dyDescent="0.2">
      <c r="A14" s="5" t="s">
        <v>53</v>
      </c>
      <c r="B14" s="3">
        <v>100</v>
      </c>
      <c r="C14" s="3" t="s">
        <v>12</v>
      </c>
      <c r="D14" s="3"/>
      <c r="E14" s="3"/>
      <c r="F14" s="5">
        <f>psat_t(B14)</f>
        <v>1.0141797792131013</v>
      </c>
      <c r="G14" s="5" t="s">
        <v>45</v>
      </c>
      <c r="H14" s="3" t="s">
        <v>15</v>
      </c>
    </row>
    <row r="15" spans="1:8" s="4" customFormat="1" ht="12.75" outlineLevel="1" x14ac:dyDescent="0.2">
      <c r="A15" s="5" t="s">
        <v>54</v>
      </c>
      <c r="B15" s="3">
        <v>84</v>
      </c>
      <c r="C15" s="3" t="s">
        <v>19</v>
      </c>
      <c r="D15" s="3">
        <v>0.29599999999999999</v>
      </c>
      <c r="E15" s="3" t="s">
        <v>49</v>
      </c>
      <c r="F15" s="5">
        <f>p_hs(B15,D15)</f>
        <v>2.2954982692809138</v>
      </c>
      <c r="G15" s="5" t="s">
        <v>45</v>
      </c>
      <c r="H15" s="3" t="s">
        <v>55</v>
      </c>
    </row>
    <row r="16" spans="1:8" s="4" customFormat="1" ht="12.75" outlineLevel="1" x14ac:dyDescent="0.2">
      <c r="A16" s="5" t="s">
        <v>56</v>
      </c>
      <c r="B16" s="3">
        <v>2000</v>
      </c>
      <c r="C16" s="3" t="s">
        <v>19</v>
      </c>
      <c r="D16" s="3">
        <v>5</v>
      </c>
      <c r="E16" s="3" t="s">
        <v>21</v>
      </c>
      <c r="F16" s="5">
        <f>p_hrho(B16,D16)</f>
        <v>6.0464690304783115</v>
      </c>
      <c r="G16" s="5" t="s">
        <v>45</v>
      </c>
      <c r="H16" s="3" t="s">
        <v>57</v>
      </c>
    </row>
    <row r="17" spans="1:8" s="36" customFormat="1" x14ac:dyDescent="0.2">
      <c r="A17" s="35" t="s">
        <v>18</v>
      </c>
      <c r="F17" s="37"/>
      <c r="G17" s="37"/>
    </row>
    <row r="18" spans="1:8" s="4" customFormat="1" ht="12.75" outlineLevel="1" x14ac:dyDescent="0.2">
      <c r="A18" s="5" t="s">
        <v>58</v>
      </c>
      <c r="B18" s="3">
        <v>1</v>
      </c>
      <c r="C18" s="3" t="s">
        <v>45</v>
      </c>
      <c r="D18" s="3"/>
      <c r="E18" s="3"/>
      <c r="F18" s="5">
        <f>hV_p(B18)</f>
        <v>2674.9496408321461</v>
      </c>
      <c r="G18" s="5" t="s">
        <v>19</v>
      </c>
      <c r="H18" s="3" t="s">
        <v>59</v>
      </c>
    </row>
    <row r="19" spans="1:8" s="4" customFormat="1" ht="12.75" outlineLevel="1" x14ac:dyDescent="0.2">
      <c r="A19" s="5" t="s">
        <v>60</v>
      </c>
      <c r="B19" s="3">
        <v>1</v>
      </c>
      <c r="C19" s="3" t="s">
        <v>45</v>
      </c>
      <c r="D19" s="3"/>
      <c r="E19" s="3"/>
      <c r="F19" s="5">
        <f>hL_p(B19)</f>
        <v>417.43648581623171</v>
      </c>
      <c r="G19" s="5" t="s">
        <v>19</v>
      </c>
      <c r="H19" s="3" t="s">
        <v>61</v>
      </c>
    </row>
    <row r="20" spans="1:8" s="4" customFormat="1" ht="12.75" outlineLevel="1" x14ac:dyDescent="0.2">
      <c r="A20" s="5" t="s">
        <v>62</v>
      </c>
      <c r="B20" s="3">
        <v>100</v>
      </c>
      <c r="C20" s="3" t="s">
        <v>12</v>
      </c>
      <c r="D20" s="3"/>
      <c r="E20" s="3"/>
      <c r="F20" s="5">
        <f>hV_T(B20)</f>
        <v>2675.5720292208343</v>
      </c>
      <c r="G20" s="5" t="s">
        <v>19</v>
      </c>
      <c r="H20" s="3" t="s">
        <v>59</v>
      </c>
    </row>
    <row r="21" spans="1:8" s="4" customFormat="1" ht="12.75" outlineLevel="1" x14ac:dyDescent="0.2">
      <c r="A21" s="5" t="s">
        <v>63</v>
      </c>
      <c r="B21" s="3">
        <v>100</v>
      </c>
      <c r="C21" s="3" t="s">
        <v>12</v>
      </c>
      <c r="D21" s="3"/>
      <c r="E21" s="3"/>
      <c r="F21" s="5">
        <f>hL_T(B21)</f>
        <v>419.09915499770312</v>
      </c>
      <c r="G21" s="5" t="s">
        <v>19</v>
      </c>
      <c r="H21" s="3" t="s">
        <v>61</v>
      </c>
    </row>
    <row r="22" spans="1:8" s="4" customFormat="1" ht="12.75" outlineLevel="1" x14ac:dyDescent="0.2">
      <c r="A22" s="5" t="s">
        <v>64</v>
      </c>
      <c r="B22" s="3">
        <v>1</v>
      </c>
      <c r="C22" s="3" t="s">
        <v>45</v>
      </c>
      <c r="D22" s="3">
        <v>20</v>
      </c>
      <c r="E22" s="3" t="s">
        <v>12</v>
      </c>
      <c r="F22" s="5">
        <f>h_pt(B22,D22)</f>
        <v>84.01181116713623</v>
      </c>
      <c r="G22" s="5" t="s">
        <v>19</v>
      </c>
      <c r="H22" s="3" t="s">
        <v>65</v>
      </c>
    </row>
    <row r="23" spans="1:8" s="4" customFormat="1" ht="12.75" outlineLevel="1" x14ac:dyDescent="0.2">
      <c r="A23" s="5" t="s">
        <v>66</v>
      </c>
      <c r="B23" s="3">
        <v>1</v>
      </c>
      <c r="C23" s="3" t="s">
        <v>45</v>
      </c>
      <c r="D23" s="3">
        <v>1</v>
      </c>
      <c r="E23" s="3" t="s">
        <v>49</v>
      </c>
      <c r="F23" s="5">
        <f>h_ps(B23,D23)</f>
        <v>308.61071708294634</v>
      </c>
      <c r="G23" s="5" t="s">
        <v>19</v>
      </c>
      <c r="H23" s="3" t="s">
        <v>67</v>
      </c>
    </row>
    <row r="24" spans="1:8" s="4" customFormat="1" ht="12.75" outlineLevel="1" x14ac:dyDescent="0.2">
      <c r="A24" s="5" t="s">
        <v>68</v>
      </c>
      <c r="B24" s="3">
        <v>1</v>
      </c>
      <c r="C24" s="3" t="s">
        <v>45</v>
      </c>
      <c r="D24" s="3">
        <v>0.5</v>
      </c>
      <c r="E24" s="3"/>
      <c r="F24" s="5">
        <f>h_px(B24,D24)</f>
        <v>1546.1930633241889</v>
      </c>
      <c r="G24" s="5" t="s">
        <v>19</v>
      </c>
      <c r="H24" s="3" t="s">
        <v>69</v>
      </c>
    </row>
    <row r="25" spans="1:8" s="4" customFormat="1" ht="12.75" outlineLevel="1" x14ac:dyDescent="0.2">
      <c r="A25" s="5" t="s">
        <v>70</v>
      </c>
      <c r="B25" s="3">
        <v>100</v>
      </c>
      <c r="C25" s="3" t="s">
        <v>12</v>
      </c>
      <c r="D25" s="3">
        <v>0.5</v>
      </c>
      <c r="E25" s="3"/>
      <c r="F25" s="5">
        <f>h_tx(B25,D25)</f>
        <v>1547.3355921092686</v>
      </c>
      <c r="G25" s="5" t="s">
        <v>19</v>
      </c>
      <c r="H25" s="3" t="s">
        <v>71</v>
      </c>
    </row>
    <row r="26" spans="1:8" s="4" customFormat="1" ht="12.75" outlineLevel="1" x14ac:dyDescent="0.2">
      <c r="A26" s="5" t="s">
        <v>72</v>
      </c>
      <c r="B26" s="3">
        <v>1</v>
      </c>
      <c r="C26" s="3" t="s">
        <v>45</v>
      </c>
      <c r="D26" s="3">
        <v>2</v>
      </c>
      <c r="E26" s="3" t="s">
        <v>21</v>
      </c>
      <c r="F26" s="5">
        <f>h_prho(B26,D26)</f>
        <v>1082.7733907600204</v>
      </c>
      <c r="G26" s="5" t="s">
        <v>19</v>
      </c>
      <c r="H26" s="3" t="s">
        <v>73</v>
      </c>
    </row>
    <row r="27" spans="1:8" s="36" customFormat="1" x14ac:dyDescent="0.2">
      <c r="A27" s="35" t="s">
        <v>74</v>
      </c>
      <c r="F27" s="37"/>
      <c r="G27" s="37"/>
    </row>
    <row r="28" spans="1:8" s="4" customFormat="1" ht="12.75" outlineLevel="1" x14ac:dyDescent="0.2">
      <c r="A28" s="5" t="s">
        <v>75</v>
      </c>
      <c r="B28" s="3">
        <v>1</v>
      </c>
      <c r="C28" s="3" t="s">
        <v>45</v>
      </c>
      <c r="D28" s="3"/>
      <c r="E28" s="3"/>
      <c r="F28" s="5">
        <f>vV_p(B28)</f>
        <v>1.6940225229026846</v>
      </c>
      <c r="G28" s="5" t="s">
        <v>76</v>
      </c>
      <c r="H28" s="3" t="s">
        <v>77</v>
      </c>
    </row>
    <row r="29" spans="1:8" s="4" customFormat="1" ht="12.75" outlineLevel="1" x14ac:dyDescent="0.2">
      <c r="A29" s="5" t="s">
        <v>78</v>
      </c>
      <c r="B29" s="3">
        <v>1</v>
      </c>
      <c r="C29" s="3" t="s">
        <v>45</v>
      </c>
      <c r="D29" s="3"/>
      <c r="E29" s="3"/>
      <c r="F29" s="5">
        <f>vL_p(B29)</f>
        <v>1.0431478391551838E-3</v>
      </c>
      <c r="G29" s="5" t="s">
        <v>76</v>
      </c>
      <c r="H29" s="3" t="s">
        <v>79</v>
      </c>
    </row>
    <row r="30" spans="1:8" s="4" customFormat="1" ht="12.75" outlineLevel="1" x14ac:dyDescent="0.2">
      <c r="A30" s="5" t="s">
        <v>80</v>
      </c>
      <c r="B30" s="3">
        <v>100</v>
      </c>
      <c r="C30" s="3" t="s">
        <v>12</v>
      </c>
      <c r="D30" s="3"/>
      <c r="E30" s="3"/>
      <c r="F30" s="5">
        <f>vV_T(B30)</f>
        <v>1.6718606010940367</v>
      </c>
      <c r="G30" s="5" t="s">
        <v>76</v>
      </c>
      <c r="H30" s="3" t="s">
        <v>77</v>
      </c>
    </row>
    <row r="31" spans="1:8" s="4" customFormat="1" ht="12.75" outlineLevel="1" x14ac:dyDescent="0.2">
      <c r="A31" s="5" t="s">
        <v>81</v>
      </c>
      <c r="B31" s="3">
        <v>100</v>
      </c>
      <c r="C31" s="3" t="s">
        <v>12</v>
      </c>
      <c r="D31" s="3"/>
      <c r="E31" s="3"/>
      <c r="F31" s="5">
        <f>vL_T(B31)</f>
        <v>1.0434554566105269E-3</v>
      </c>
      <c r="G31" s="5" t="s">
        <v>76</v>
      </c>
      <c r="H31" s="3" t="s">
        <v>79</v>
      </c>
    </row>
    <row r="32" spans="1:8" s="4" customFormat="1" ht="12.75" outlineLevel="1" x14ac:dyDescent="0.2">
      <c r="A32" s="5" t="s">
        <v>82</v>
      </c>
      <c r="B32" s="3">
        <v>1</v>
      </c>
      <c r="C32" s="3" t="s">
        <v>45</v>
      </c>
      <c r="D32" s="3">
        <v>100</v>
      </c>
      <c r="E32" s="3" t="s">
        <v>12</v>
      </c>
      <c r="F32" s="5">
        <f>v_pT(B32,D32)</f>
        <v>1.6959594073982218</v>
      </c>
      <c r="G32" s="5" t="s">
        <v>76</v>
      </c>
      <c r="H32" s="3" t="s">
        <v>83</v>
      </c>
    </row>
    <row r="33" spans="1:8" s="4" customFormat="1" ht="12.75" outlineLevel="1" x14ac:dyDescent="0.2">
      <c r="A33" s="5" t="s">
        <v>84</v>
      </c>
      <c r="B33" s="3">
        <v>1</v>
      </c>
      <c r="C33" s="3" t="s">
        <v>45</v>
      </c>
      <c r="D33" s="3">
        <v>1000</v>
      </c>
      <c r="E33" s="3" t="s">
        <v>19</v>
      </c>
      <c r="F33" s="5">
        <f>v_ph(B33,D33)</f>
        <v>0.43792565812986356</v>
      </c>
      <c r="G33" s="5" t="s">
        <v>76</v>
      </c>
      <c r="H33" s="3" t="s">
        <v>85</v>
      </c>
    </row>
    <row r="34" spans="1:8" s="4" customFormat="1" ht="12.75" outlineLevel="1" x14ac:dyDescent="0.2">
      <c r="A34" s="5" t="s">
        <v>86</v>
      </c>
      <c r="B34" s="3">
        <v>1</v>
      </c>
      <c r="C34" s="3" t="s">
        <v>45</v>
      </c>
      <c r="D34" s="3">
        <v>5</v>
      </c>
      <c r="E34" s="3" t="s">
        <v>49</v>
      </c>
      <c r="F34" s="5">
        <f>v_ps(B34,D34)</f>
        <v>1.0346353901862877</v>
      </c>
      <c r="G34" s="5" t="s">
        <v>76</v>
      </c>
      <c r="H34" s="3" t="s">
        <v>87</v>
      </c>
    </row>
    <row r="35" spans="1:8" s="36" customFormat="1" x14ac:dyDescent="0.2">
      <c r="A35" s="35" t="s">
        <v>20</v>
      </c>
      <c r="F35" s="37"/>
      <c r="G35" s="37"/>
    </row>
    <row r="36" spans="1:8" s="4" customFormat="1" ht="12.75" outlineLevel="1" x14ac:dyDescent="0.2">
      <c r="A36" s="5" t="s">
        <v>88</v>
      </c>
      <c r="B36" s="3">
        <v>1</v>
      </c>
      <c r="C36" s="3" t="s">
        <v>45</v>
      </c>
      <c r="D36" s="3"/>
      <c r="E36" s="3"/>
      <c r="F36" s="5">
        <f>rhoV_p(B36)</f>
        <v>0.59031092354457815</v>
      </c>
      <c r="G36" s="5" t="s">
        <v>21</v>
      </c>
      <c r="H36" s="3" t="s">
        <v>89</v>
      </c>
    </row>
    <row r="37" spans="1:8" s="4" customFormat="1" ht="12.75" outlineLevel="1" x14ac:dyDescent="0.2">
      <c r="A37" s="5" t="s">
        <v>90</v>
      </c>
      <c r="B37" s="3">
        <v>1</v>
      </c>
      <c r="C37" s="3" t="s">
        <v>45</v>
      </c>
      <c r="D37" s="3"/>
      <c r="E37" s="3"/>
      <c r="F37" s="5">
        <f>rhoL_P(B37)</f>
        <v>958.63688967603287</v>
      </c>
      <c r="G37" s="5" t="s">
        <v>21</v>
      </c>
      <c r="H37" s="3" t="s">
        <v>91</v>
      </c>
    </row>
    <row r="38" spans="1:8" s="4" customFormat="1" ht="12.75" outlineLevel="1" x14ac:dyDescent="0.2">
      <c r="A38" s="5" t="s">
        <v>92</v>
      </c>
      <c r="B38" s="3">
        <v>100</v>
      </c>
      <c r="C38" s="3" t="s">
        <v>12</v>
      </c>
      <c r="D38" s="3"/>
      <c r="E38" s="3"/>
      <c r="F38" s="5">
        <f>rhoV_T(B38)</f>
        <v>0.59813599252570293</v>
      </c>
      <c r="G38" s="5" t="s">
        <v>21</v>
      </c>
      <c r="H38" s="3" t="s">
        <v>89</v>
      </c>
    </row>
    <row r="39" spans="1:8" s="4" customFormat="1" ht="12.75" outlineLevel="1" x14ac:dyDescent="0.2">
      <c r="A39" s="5" t="s">
        <v>93</v>
      </c>
      <c r="B39" s="3">
        <v>100</v>
      </c>
      <c r="C39" s="3" t="s">
        <v>12</v>
      </c>
      <c r="D39" s="3"/>
      <c r="E39" s="3"/>
      <c r="F39" s="5">
        <f>rhoL_T(B39)</f>
        <v>958.35427728589013</v>
      </c>
      <c r="G39" s="5" t="s">
        <v>21</v>
      </c>
      <c r="H39" s="3" t="s">
        <v>91</v>
      </c>
    </row>
    <row r="40" spans="1:8" s="4" customFormat="1" ht="12.75" outlineLevel="1" x14ac:dyDescent="0.2">
      <c r="A40" s="5" t="s">
        <v>94</v>
      </c>
      <c r="B40" s="3">
        <v>1</v>
      </c>
      <c r="C40" s="3" t="s">
        <v>45</v>
      </c>
      <c r="D40" s="3">
        <v>100</v>
      </c>
      <c r="E40" s="3" t="s">
        <v>12</v>
      </c>
      <c r="F40" s="5">
        <f>rho_pT(B40,D40)</f>
        <v>0.5896367540624714</v>
      </c>
      <c r="G40" s="5" t="s">
        <v>21</v>
      </c>
      <c r="H40" s="3" t="s">
        <v>95</v>
      </c>
    </row>
    <row r="41" spans="1:8" s="4" customFormat="1" ht="12.75" outlineLevel="1" x14ac:dyDescent="0.2">
      <c r="A41" s="5" t="s">
        <v>96</v>
      </c>
      <c r="B41" s="3">
        <v>1</v>
      </c>
      <c r="C41" s="3" t="s">
        <v>45</v>
      </c>
      <c r="D41" s="3">
        <v>1000</v>
      </c>
      <c r="E41" s="3" t="s">
        <v>19</v>
      </c>
      <c r="F41" s="5">
        <f>rho_ph(B41,D41)</f>
        <v>2.2834926007086289</v>
      </c>
      <c r="G41" s="5" t="s">
        <v>21</v>
      </c>
      <c r="H41" s="3" t="s">
        <v>97</v>
      </c>
    </row>
    <row r="42" spans="1:8" s="4" customFormat="1" ht="12.75" outlineLevel="1" x14ac:dyDescent="0.2">
      <c r="A42" s="5" t="s">
        <v>98</v>
      </c>
      <c r="B42" s="3">
        <v>1</v>
      </c>
      <c r="C42" s="3" t="s">
        <v>45</v>
      </c>
      <c r="D42" s="3">
        <v>1</v>
      </c>
      <c r="E42" s="3" t="s">
        <v>49</v>
      </c>
      <c r="F42" s="5">
        <f>rho_ps(B42,D42)</f>
        <v>975.62367884823243</v>
      </c>
      <c r="G42" s="5" t="s">
        <v>21</v>
      </c>
      <c r="H42" s="3" t="s">
        <v>99</v>
      </c>
    </row>
    <row r="43" spans="1:8" s="36" customFormat="1" x14ac:dyDescent="0.2">
      <c r="A43" s="35" t="s">
        <v>100</v>
      </c>
      <c r="F43" s="37"/>
      <c r="G43" s="37"/>
    </row>
    <row r="44" spans="1:8" s="4" customFormat="1" ht="12.75" outlineLevel="1" x14ac:dyDescent="0.2">
      <c r="A44" s="5" t="s">
        <v>101</v>
      </c>
      <c r="B44" s="3">
        <v>6.117E-3</v>
      </c>
      <c r="C44" s="3" t="s">
        <v>45</v>
      </c>
      <c r="D44" s="3"/>
      <c r="E44" s="3"/>
      <c r="F44" s="5">
        <f>sV_p(B44)</f>
        <v>9.1554655557132456</v>
      </c>
      <c r="G44" s="5" t="s">
        <v>49</v>
      </c>
      <c r="H44" s="3" t="s">
        <v>102</v>
      </c>
    </row>
    <row r="45" spans="1:8" s="4" customFormat="1" ht="12.75" outlineLevel="1" x14ac:dyDescent="0.2">
      <c r="A45" s="5" t="s">
        <v>103</v>
      </c>
      <c r="B45" s="3">
        <v>6.1171000000000003E-3</v>
      </c>
      <c r="C45" s="3" t="s">
        <v>45</v>
      </c>
      <c r="D45" s="3"/>
      <c r="E45" s="3"/>
      <c r="F45" s="5">
        <f>sL_p(B45)</f>
        <v>1.8359025119631999E-5</v>
      </c>
      <c r="G45" s="5" t="s">
        <v>49</v>
      </c>
      <c r="H45" s="3" t="s">
        <v>104</v>
      </c>
    </row>
    <row r="46" spans="1:8" s="4" customFormat="1" ht="12.75" outlineLevel="1" x14ac:dyDescent="0.2">
      <c r="A46" s="5" t="s">
        <v>105</v>
      </c>
      <c r="B46" s="3">
        <v>1E-4</v>
      </c>
      <c r="C46" s="3" t="s">
        <v>12</v>
      </c>
      <c r="D46" s="3"/>
      <c r="E46" s="3"/>
      <c r="F46" s="5">
        <f>sV_T(B46)</f>
        <v>9.1557567158855857</v>
      </c>
      <c r="G46" s="5" t="s">
        <v>49</v>
      </c>
      <c r="H46" s="3" t="s">
        <v>102</v>
      </c>
    </row>
    <row r="47" spans="1:8" s="4" customFormat="1" ht="12.75" outlineLevel="1" x14ac:dyDescent="0.2">
      <c r="A47" s="5" t="s">
        <v>106</v>
      </c>
      <c r="B47" s="3">
        <v>100</v>
      </c>
      <c r="C47" s="3" t="s">
        <v>12</v>
      </c>
      <c r="D47" s="3"/>
      <c r="E47" s="3"/>
      <c r="F47" s="5">
        <f>sL_T(B47)</f>
        <v>1.3070143278413395</v>
      </c>
      <c r="G47" s="5" t="s">
        <v>49</v>
      </c>
      <c r="H47" s="3" t="s">
        <v>104</v>
      </c>
    </row>
    <row r="48" spans="1:8" s="4" customFormat="1" ht="12.75" outlineLevel="1" x14ac:dyDescent="0.2">
      <c r="A48" s="5" t="s">
        <v>107</v>
      </c>
      <c r="B48" s="3">
        <v>1</v>
      </c>
      <c r="C48" s="3" t="s">
        <v>45</v>
      </c>
      <c r="D48" s="3">
        <v>20</v>
      </c>
      <c r="E48" s="3" t="s">
        <v>12</v>
      </c>
      <c r="F48" s="5">
        <f>s_pT(B48,D48)</f>
        <v>0.29648292080641009</v>
      </c>
      <c r="G48" s="5" t="s">
        <v>49</v>
      </c>
      <c r="H48" s="3" t="s">
        <v>108</v>
      </c>
    </row>
    <row r="49" spans="1:8" s="4" customFormat="1" ht="12.75" outlineLevel="1" x14ac:dyDescent="0.2">
      <c r="A49" s="5" t="s">
        <v>109</v>
      </c>
      <c r="B49" s="3">
        <v>1</v>
      </c>
      <c r="C49" s="3" t="s">
        <v>45</v>
      </c>
      <c r="D49" s="3">
        <f>F22</f>
        <v>84.01181116713623</v>
      </c>
      <c r="E49" s="3" t="s">
        <v>19</v>
      </c>
      <c r="F49" s="5">
        <f>s_ph(B49,D49)</f>
        <v>0.29681384467642941</v>
      </c>
      <c r="G49" s="5" t="s">
        <v>49</v>
      </c>
      <c r="H49" s="3" t="s">
        <v>110</v>
      </c>
    </row>
    <row r="50" spans="1:8" s="36" customFormat="1" x14ac:dyDescent="0.2">
      <c r="A50" s="35" t="s">
        <v>111</v>
      </c>
      <c r="F50" s="37"/>
      <c r="G50" s="37"/>
    </row>
    <row r="51" spans="1:8" s="4" customFormat="1" ht="12.75" outlineLevel="1" x14ac:dyDescent="0.2">
      <c r="A51" s="5" t="s">
        <v>112</v>
      </c>
      <c r="B51" s="3">
        <v>1</v>
      </c>
      <c r="C51" s="3" t="s">
        <v>45</v>
      </c>
      <c r="D51" s="3"/>
      <c r="E51" s="3"/>
      <c r="F51" s="5">
        <f>uV_p(B51)</f>
        <v>2505.5473885418778</v>
      </c>
      <c r="G51" s="5" t="s">
        <v>19</v>
      </c>
      <c r="H51" s="3" t="s">
        <v>113</v>
      </c>
    </row>
    <row r="52" spans="1:8" s="4" customFormat="1" ht="12.75" outlineLevel="1" x14ac:dyDescent="0.2">
      <c r="A52" s="5" t="s">
        <v>114</v>
      </c>
      <c r="B52" s="3">
        <v>1</v>
      </c>
      <c r="C52" s="3" t="s">
        <v>45</v>
      </c>
      <c r="D52" s="3"/>
      <c r="E52" s="3"/>
      <c r="F52" s="5">
        <f>uL_p(B52)</f>
        <v>417.33217103231618</v>
      </c>
      <c r="G52" s="5" t="s">
        <v>19</v>
      </c>
      <c r="H52" s="3" t="s">
        <v>115</v>
      </c>
    </row>
    <row r="53" spans="1:8" s="4" customFormat="1" ht="12.75" outlineLevel="1" x14ac:dyDescent="0.2">
      <c r="A53" s="5" t="s">
        <v>116</v>
      </c>
      <c r="B53" s="3">
        <v>100</v>
      </c>
      <c r="C53" s="3" t="s">
        <v>12</v>
      </c>
      <c r="D53" s="3"/>
      <c r="E53" s="3"/>
      <c r="F53" s="5">
        <f>uV_T(B53)</f>
        <v>2506.0153076915708</v>
      </c>
      <c r="G53" s="5" t="s">
        <v>19</v>
      </c>
      <c r="H53" s="3" t="s">
        <v>113</v>
      </c>
    </row>
    <row r="54" spans="1:8" s="4" customFormat="1" ht="12.75" outlineLevel="1" x14ac:dyDescent="0.2">
      <c r="A54" s="5" t="s">
        <v>117</v>
      </c>
      <c r="B54" s="3">
        <v>100</v>
      </c>
      <c r="C54" s="3" t="s">
        <v>12</v>
      </c>
      <c r="D54" s="3"/>
      <c r="E54" s="3"/>
      <c r="F54" s="5">
        <f>uL_T(B54)</f>
        <v>418.99332985524268</v>
      </c>
      <c r="G54" s="5" t="s">
        <v>19</v>
      </c>
      <c r="H54" s="3" t="s">
        <v>115</v>
      </c>
    </row>
    <row r="55" spans="1:8" s="4" customFormat="1" ht="12.75" outlineLevel="1" x14ac:dyDescent="0.2">
      <c r="A55" s="5" t="s">
        <v>118</v>
      </c>
      <c r="B55" s="3">
        <v>1</v>
      </c>
      <c r="C55" s="3" t="s">
        <v>45</v>
      </c>
      <c r="D55" s="3">
        <v>100</v>
      </c>
      <c r="E55" s="3" t="s">
        <v>12</v>
      </c>
      <c r="F55" s="5">
        <f>u_pT(B55,D55)</f>
        <v>2506.1714264660072</v>
      </c>
      <c r="G55" s="5" t="s">
        <v>19</v>
      </c>
      <c r="H55" s="3" t="s">
        <v>119</v>
      </c>
    </row>
    <row r="56" spans="1:8" s="4" customFormat="1" ht="12.75" outlineLevel="1" x14ac:dyDescent="0.2">
      <c r="A56" s="5" t="s">
        <v>120</v>
      </c>
      <c r="B56" s="3">
        <v>1</v>
      </c>
      <c r="C56" s="3" t="s">
        <v>45</v>
      </c>
      <c r="D56" s="3">
        <v>1000</v>
      </c>
      <c r="E56" s="3" t="s">
        <v>19</v>
      </c>
      <c r="F56" s="5">
        <f>u_ph(B56,D56)</f>
        <v>956.20743418701375</v>
      </c>
      <c r="G56" s="5" t="s">
        <v>19</v>
      </c>
      <c r="H56" s="3" t="s">
        <v>121</v>
      </c>
    </row>
    <row r="57" spans="1:8" s="4" customFormat="1" ht="12.75" outlineLevel="1" x14ac:dyDescent="0.2">
      <c r="A57" s="5" t="s">
        <v>122</v>
      </c>
      <c r="B57" s="3">
        <v>1</v>
      </c>
      <c r="C57" s="3" t="s">
        <v>45</v>
      </c>
      <c r="D57" s="3">
        <v>1</v>
      </c>
      <c r="E57" s="3" t="s">
        <v>49</v>
      </c>
      <c r="F57" s="5">
        <f>u_ps(B57,D57)</f>
        <v>308.50821854568443</v>
      </c>
      <c r="G57" s="5" t="s">
        <v>19</v>
      </c>
      <c r="H57" s="3" t="s">
        <v>123</v>
      </c>
    </row>
    <row r="58" spans="1:8" s="36" customFormat="1" x14ac:dyDescent="0.2">
      <c r="A58" s="35" t="s">
        <v>124</v>
      </c>
      <c r="F58" s="37"/>
      <c r="G58" s="37"/>
    </row>
    <row r="59" spans="1:8" s="4" customFormat="1" ht="12.75" outlineLevel="1" x14ac:dyDescent="0.2">
      <c r="A59" s="5" t="s">
        <v>125</v>
      </c>
      <c r="B59" s="3">
        <v>1</v>
      </c>
      <c r="C59" s="3" t="s">
        <v>45</v>
      </c>
      <c r="D59" s="3"/>
      <c r="E59" s="3"/>
      <c r="F59" s="5">
        <f>CpV_p(B59)</f>
        <v>2.0759380252044393</v>
      </c>
      <c r="G59" s="5" t="s">
        <v>126</v>
      </c>
      <c r="H59" s="3" t="s">
        <v>127</v>
      </c>
    </row>
    <row r="60" spans="1:8" s="4" customFormat="1" ht="12.75" outlineLevel="1" x14ac:dyDescent="0.2">
      <c r="A60" s="5" t="s">
        <v>128</v>
      </c>
      <c r="B60" s="3">
        <v>1</v>
      </c>
      <c r="C60" s="3" t="s">
        <v>45</v>
      </c>
      <c r="D60" s="3"/>
      <c r="E60" s="3"/>
      <c r="F60" s="5">
        <f>CpL_p(B60)</f>
        <v>4.2161494308387475</v>
      </c>
      <c r="G60" s="5" t="s">
        <v>126</v>
      </c>
      <c r="H60" s="3" t="s">
        <v>129</v>
      </c>
    </row>
    <row r="61" spans="1:8" s="4" customFormat="1" ht="12.75" outlineLevel="1" x14ac:dyDescent="0.2">
      <c r="A61" s="5" t="s">
        <v>130</v>
      </c>
      <c r="B61" s="3">
        <v>100</v>
      </c>
      <c r="C61" s="3" t="s">
        <v>12</v>
      </c>
      <c r="D61" s="3"/>
      <c r="E61" s="3"/>
      <c r="F61" s="5">
        <f>CpV_T(B61)</f>
        <v>2.0774918684822654</v>
      </c>
      <c r="G61" s="5" t="s">
        <v>126</v>
      </c>
      <c r="H61" s="3" t="s">
        <v>127</v>
      </c>
    </row>
    <row r="62" spans="1:8" s="4" customFormat="1" ht="12.75" outlineLevel="1" x14ac:dyDescent="0.2">
      <c r="A62" s="5" t="s">
        <v>131</v>
      </c>
      <c r="B62" s="3">
        <v>100</v>
      </c>
      <c r="C62" s="3" t="s">
        <v>12</v>
      </c>
      <c r="D62" s="3"/>
      <c r="E62" s="3"/>
      <c r="F62" s="5">
        <f>CpL_T(B62)</f>
        <v>4.2166451189235845</v>
      </c>
      <c r="G62" s="5" t="s">
        <v>126</v>
      </c>
      <c r="H62" s="3" t="s">
        <v>129</v>
      </c>
    </row>
    <row r="63" spans="1:8" s="4" customFormat="1" ht="12.75" outlineLevel="1" x14ac:dyDescent="0.2">
      <c r="A63" s="5" t="s">
        <v>132</v>
      </c>
      <c r="B63" s="3">
        <v>1</v>
      </c>
      <c r="C63" s="3" t="s">
        <v>45</v>
      </c>
      <c r="D63" s="3">
        <v>100</v>
      </c>
      <c r="E63" s="3" t="s">
        <v>12</v>
      </c>
      <c r="F63" s="5">
        <f>Cp_pT(B63,D63)</f>
        <v>2.0741085545801092</v>
      </c>
      <c r="G63" s="5" t="s">
        <v>126</v>
      </c>
      <c r="H63" s="3" t="s">
        <v>133</v>
      </c>
    </row>
    <row r="64" spans="1:8" s="4" customFormat="1" ht="12.75" outlineLevel="1" x14ac:dyDescent="0.2">
      <c r="A64" s="5" t="s">
        <v>134</v>
      </c>
      <c r="B64" s="3">
        <v>1</v>
      </c>
      <c r="C64" s="3" t="s">
        <v>45</v>
      </c>
      <c r="D64" s="3">
        <v>200</v>
      </c>
      <c r="E64" s="3" t="s">
        <v>19</v>
      </c>
      <c r="F64" s="5">
        <f>Cp_ph(B64,D64)</f>
        <v>4.1791357316880209</v>
      </c>
      <c r="G64" s="5" t="s">
        <v>126</v>
      </c>
      <c r="H64" s="3" t="s">
        <v>135</v>
      </c>
    </row>
    <row r="65" spans="1:8" s="4" customFormat="1" ht="12.75" outlineLevel="1" x14ac:dyDescent="0.2">
      <c r="A65" s="5" t="s">
        <v>136</v>
      </c>
      <c r="B65" s="3">
        <v>1</v>
      </c>
      <c r="C65" s="3" t="s">
        <v>45</v>
      </c>
      <c r="D65" s="3">
        <v>1</v>
      </c>
      <c r="E65" s="3" t="s">
        <v>49</v>
      </c>
      <c r="F65" s="5">
        <f>Cp_ps(B65,D65)</f>
        <v>4.1906070379012936</v>
      </c>
      <c r="G65" s="5" t="s">
        <v>126</v>
      </c>
      <c r="H65" s="3" t="s">
        <v>137</v>
      </c>
    </row>
    <row r="66" spans="1:8" s="36" customFormat="1" x14ac:dyDescent="0.2">
      <c r="A66" s="35" t="s">
        <v>138</v>
      </c>
      <c r="F66" s="37"/>
      <c r="G66" s="37"/>
    </row>
    <row r="67" spans="1:8" s="4" customFormat="1" ht="12.75" outlineLevel="1" x14ac:dyDescent="0.2">
      <c r="A67" s="5" t="s">
        <v>139</v>
      </c>
      <c r="B67" s="3">
        <v>1</v>
      </c>
      <c r="C67" s="3" t="s">
        <v>45</v>
      </c>
      <c r="D67" s="3"/>
      <c r="E67" s="3"/>
      <c r="F67" s="5">
        <f>CvV_p(B67)</f>
        <v>1.5526969793308025</v>
      </c>
      <c r="G67" s="5" t="s">
        <v>126</v>
      </c>
      <c r="H67" s="3" t="s">
        <v>140</v>
      </c>
    </row>
    <row r="68" spans="1:8" s="4" customFormat="1" ht="12.75" outlineLevel="1" x14ac:dyDescent="0.2">
      <c r="A68" s="5" t="s">
        <v>141</v>
      </c>
      <c r="B68" s="3">
        <v>1</v>
      </c>
      <c r="C68" s="3" t="s">
        <v>45</v>
      </c>
      <c r="D68" s="3"/>
      <c r="E68" s="3"/>
      <c r="F68" s="5">
        <f>CvL_p(B68)</f>
        <v>3.7696996827334974</v>
      </c>
      <c r="G68" s="5" t="s">
        <v>126</v>
      </c>
      <c r="H68" s="3" t="s">
        <v>142</v>
      </c>
    </row>
    <row r="69" spans="1:8" s="4" customFormat="1" ht="12.75" outlineLevel="1" x14ac:dyDescent="0.2">
      <c r="A69" s="5" t="s">
        <v>143</v>
      </c>
      <c r="B69" s="3">
        <v>100</v>
      </c>
      <c r="C69" s="3" t="s">
        <v>12</v>
      </c>
      <c r="D69" s="3"/>
      <c r="E69" s="3"/>
      <c r="F69" s="5">
        <f>CvV_T(B69)</f>
        <v>1.5536986960345103</v>
      </c>
      <c r="G69" s="5" t="s">
        <v>126</v>
      </c>
      <c r="H69" s="3" t="s">
        <v>140</v>
      </c>
    </row>
    <row r="70" spans="1:8" s="4" customFormat="1" ht="12.75" outlineLevel="1" x14ac:dyDescent="0.2">
      <c r="A70" s="5" t="s">
        <v>144</v>
      </c>
      <c r="B70" s="3">
        <v>100</v>
      </c>
      <c r="C70" s="3" t="s">
        <v>12</v>
      </c>
      <c r="D70" s="3"/>
      <c r="E70" s="3"/>
      <c r="F70" s="5">
        <f>CvL_T(B70)</f>
        <v>3.7677002201427507</v>
      </c>
      <c r="G70" s="5" t="s">
        <v>126</v>
      </c>
      <c r="H70" s="3" t="s">
        <v>142</v>
      </c>
    </row>
    <row r="71" spans="1:8" s="4" customFormat="1" ht="12.75" outlineLevel="1" x14ac:dyDescent="0.2">
      <c r="A71" s="5" t="s">
        <v>145</v>
      </c>
      <c r="B71" s="3">
        <v>1</v>
      </c>
      <c r="C71" s="3" t="s">
        <v>45</v>
      </c>
      <c r="D71" s="3">
        <v>100</v>
      </c>
      <c r="E71" s="3" t="s">
        <v>12</v>
      </c>
      <c r="F71" s="5">
        <f>Cv_pT(B71,D71)</f>
        <v>1.5513972494644879</v>
      </c>
      <c r="G71" s="5" t="s">
        <v>126</v>
      </c>
      <c r="H71" s="3" t="s">
        <v>146</v>
      </c>
    </row>
    <row r="72" spans="1:8" s="4" customFormat="1" ht="12.75" outlineLevel="1" x14ac:dyDescent="0.2">
      <c r="A72" s="5" t="s">
        <v>147</v>
      </c>
      <c r="B72" s="3">
        <v>1</v>
      </c>
      <c r="C72" s="3" t="s">
        <v>45</v>
      </c>
      <c r="D72" s="3">
        <v>200</v>
      </c>
      <c r="E72" s="3" t="s">
        <v>19</v>
      </c>
      <c r="F72" s="5">
        <f>Cv_ph(B72,D72)</f>
        <v>4.0351763635796729</v>
      </c>
      <c r="G72" s="5" t="s">
        <v>126</v>
      </c>
      <c r="H72" s="3" t="s">
        <v>148</v>
      </c>
    </row>
    <row r="73" spans="1:8" s="4" customFormat="1" ht="12.75" outlineLevel="1" x14ac:dyDescent="0.2">
      <c r="A73" s="5" t="s">
        <v>149</v>
      </c>
      <c r="B73" s="3">
        <v>1</v>
      </c>
      <c r="C73" s="3" t="s">
        <v>45</v>
      </c>
      <c r="D73" s="3">
        <v>1</v>
      </c>
      <c r="E73" s="3" t="s">
        <v>49</v>
      </c>
      <c r="F73" s="5">
        <f>Cv_ps(B73,D73)</f>
        <v>3.9029194681136645</v>
      </c>
      <c r="G73" s="5" t="s">
        <v>126</v>
      </c>
      <c r="H73" s="3" t="s">
        <v>150</v>
      </c>
    </row>
    <row r="74" spans="1:8" s="36" customFormat="1" x14ac:dyDescent="0.2">
      <c r="A74" s="35" t="s">
        <v>151</v>
      </c>
      <c r="F74" s="37"/>
      <c r="G74" s="37"/>
    </row>
    <row r="75" spans="1:8" s="4" customFormat="1" ht="12.75" outlineLevel="1" x14ac:dyDescent="0.2">
      <c r="A75" s="5" t="s">
        <v>152</v>
      </c>
      <c r="B75" s="3">
        <v>1</v>
      </c>
      <c r="C75" s="3" t="s">
        <v>45</v>
      </c>
      <c r="D75" s="3"/>
      <c r="E75" s="3"/>
      <c r="F75" s="5">
        <f>wV_p(B75)</f>
        <v>472.05415710604763</v>
      </c>
      <c r="G75" s="5" t="s">
        <v>37</v>
      </c>
      <c r="H75" s="3" t="s">
        <v>153</v>
      </c>
    </row>
    <row r="76" spans="1:8" s="4" customFormat="1" ht="12.75" outlineLevel="1" x14ac:dyDescent="0.2">
      <c r="A76" s="5" t="s">
        <v>154</v>
      </c>
      <c r="B76" s="3">
        <v>1</v>
      </c>
      <c r="C76" s="3" t="s">
        <v>45</v>
      </c>
      <c r="D76" s="3"/>
      <c r="E76" s="3"/>
      <c r="F76" s="5">
        <f>wL_p(B76)</f>
        <v>1545.4519475339648</v>
      </c>
      <c r="G76" s="5" t="s">
        <v>37</v>
      </c>
      <c r="H76" s="3" t="s">
        <v>155</v>
      </c>
    </row>
    <row r="77" spans="1:8" s="4" customFormat="1" ht="12.75" outlineLevel="1" x14ac:dyDescent="0.2">
      <c r="A77" s="5" t="s">
        <v>156</v>
      </c>
      <c r="B77" s="3">
        <v>100</v>
      </c>
      <c r="C77" s="3" t="s">
        <v>12</v>
      </c>
      <c r="D77" s="3"/>
      <c r="E77" s="3"/>
      <c r="F77" s="5">
        <f>wV_T(B77)</f>
        <v>472.2559492389438</v>
      </c>
      <c r="G77" s="5" t="s">
        <v>37</v>
      </c>
      <c r="H77" s="3" t="s">
        <v>153</v>
      </c>
    </row>
    <row r="78" spans="1:8" s="4" customFormat="1" ht="12.75" outlineLevel="1" x14ac:dyDescent="0.2">
      <c r="A78" s="5" t="s">
        <v>157</v>
      </c>
      <c r="B78" s="3">
        <v>100</v>
      </c>
      <c r="C78" s="3" t="s">
        <v>12</v>
      </c>
      <c r="D78" s="3"/>
      <c r="E78" s="3"/>
      <c r="F78" s="5">
        <f>wL_T(B78)</f>
        <v>1545.0922491938707</v>
      </c>
      <c r="G78" s="5" t="s">
        <v>37</v>
      </c>
      <c r="H78" s="3" t="s">
        <v>155</v>
      </c>
    </row>
    <row r="79" spans="1:8" s="4" customFormat="1" ht="12.75" outlineLevel="1" x14ac:dyDescent="0.2">
      <c r="A79" s="5" t="s">
        <v>158</v>
      </c>
      <c r="B79" s="3">
        <v>1</v>
      </c>
      <c r="C79" s="3" t="s">
        <v>45</v>
      </c>
      <c r="D79" s="3">
        <v>100</v>
      </c>
      <c r="E79" s="3" t="s">
        <v>12</v>
      </c>
      <c r="F79" s="5">
        <f>w_pT(B79,D79)</f>
        <v>472.33752352485521</v>
      </c>
      <c r="G79" s="5" t="s">
        <v>37</v>
      </c>
      <c r="H79" s="3" t="s">
        <v>159</v>
      </c>
    </row>
    <row r="80" spans="1:8" s="4" customFormat="1" ht="12.75" outlineLevel="1" x14ac:dyDescent="0.2">
      <c r="A80" s="5" t="s">
        <v>160</v>
      </c>
      <c r="B80" s="3">
        <v>1</v>
      </c>
      <c r="C80" s="3" t="s">
        <v>45</v>
      </c>
      <c r="D80" s="3">
        <v>200</v>
      </c>
      <c r="E80" s="3" t="s">
        <v>19</v>
      </c>
      <c r="F80" s="5">
        <f>w_ph(B80,D80)</f>
        <v>1542.6824750114695</v>
      </c>
      <c r="G80" s="5" t="s">
        <v>37</v>
      </c>
      <c r="H80" s="3" t="s">
        <v>161</v>
      </c>
    </row>
    <row r="81" spans="1:13" s="4" customFormat="1" ht="12.75" outlineLevel="1" x14ac:dyDescent="0.2">
      <c r="A81" s="5" t="s">
        <v>162</v>
      </c>
      <c r="B81" s="3">
        <v>1</v>
      </c>
      <c r="C81" s="3" t="s">
        <v>45</v>
      </c>
      <c r="D81" s="3">
        <v>1</v>
      </c>
      <c r="E81" s="3" t="s">
        <v>49</v>
      </c>
      <c r="F81" s="5">
        <f>w_ps(B81,D81)</f>
        <v>1557.8585355322159</v>
      </c>
      <c r="G81" s="5" t="s">
        <v>37</v>
      </c>
      <c r="H81" s="3" t="s">
        <v>163</v>
      </c>
    </row>
    <row r="82" spans="1:13" s="36" customFormat="1" x14ac:dyDescent="0.2">
      <c r="A82" s="35" t="s">
        <v>164</v>
      </c>
      <c r="F82" s="37"/>
      <c r="G82" s="37"/>
    </row>
    <row r="83" spans="1:13" s="4" customFormat="1" ht="11.25" outlineLevel="1" x14ac:dyDescent="0.2">
      <c r="A83" s="4" t="s">
        <v>165</v>
      </c>
      <c r="F83" s="34"/>
      <c r="G83" s="34"/>
    </row>
    <row r="84" spans="1:13" s="4" customFormat="1" ht="11.25" outlineLevel="1" x14ac:dyDescent="0.2">
      <c r="A84" s="4" t="s">
        <v>166</v>
      </c>
      <c r="F84" s="34"/>
      <c r="G84" s="34"/>
    </row>
    <row r="85" spans="1:13" s="4" customFormat="1" ht="12.75" outlineLevel="1" x14ac:dyDescent="0.2">
      <c r="A85" s="5" t="s">
        <v>167</v>
      </c>
      <c r="B85" s="3">
        <v>1</v>
      </c>
      <c r="C85" s="3" t="s">
        <v>45</v>
      </c>
      <c r="D85" s="3">
        <v>100</v>
      </c>
      <c r="E85" s="3" t="s">
        <v>12</v>
      </c>
      <c r="F85" s="5">
        <f>my_pT(B85,D85)</f>
        <v>1.2270405707196506E-5</v>
      </c>
      <c r="G85" s="5" t="s">
        <v>168</v>
      </c>
      <c r="H85" s="3" t="s">
        <v>169</v>
      </c>
    </row>
    <row r="86" spans="1:13" s="4" customFormat="1" ht="12.75" outlineLevel="1" x14ac:dyDescent="0.2">
      <c r="A86" s="5" t="s">
        <v>170</v>
      </c>
      <c r="B86" s="3">
        <v>1</v>
      </c>
      <c r="C86" s="3" t="s">
        <v>45</v>
      </c>
      <c r="D86" s="3">
        <v>100</v>
      </c>
      <c r="E86" s="3" t="s">
        <v>19</v>
      </c>
      <c r="F86" s="38">
        <f>my_ph(B86,D86)</f>
        <v>9.1400377030210805E-4</v>
      </c>
      <c r="G86" s="5" t="s">
        <v>168</v>
      </c>
      <c r="H86" s="3" t="s">
        <v>171</v>
      </c>
    </row>
    <row r="87" spans="1:13" s="4" customFormat="1" ht="12.75" outlineLevel="1" x14ac:dyDescent="0.2">
      <c r="A87" s="5" t="s">
        <v>172</v>
      </c>
      <c r="B87" s="3">
        <v>1</v>
      </c>
      <c r="C87" s="3" t="s">
        <v>45</v>
      </c>
      <c r="D87" s="3">
        <v>1</v>
      </c>
      <c r="E87" s="3" t="s">
        <v>49</v>
      </c>
      <c r="F87" s="38">
        <f>my_ps(B87,D87)</f>
        <v>3.8422186564756434E-4</v>
      </c>
      <c r="G87" s="5" t="s">
        <v>168</v>
      </c>
      <c r="H87" s="3" t="s">
        <v>173</v>
      </c>
    </row>
    <row r="88" spans="1:13" ht="18" x14ac:dyDescent="0.25">
      <c r="A88" s="2" t="s">
        <v>174</v>
      </c>
      <c r="F88" s="38"/>
      <c r="H88" s="39"/>
      <c r="I88" s="1"/>
      <c r="J88" s="1"/>
      <c r="K88" s="1"/>
      <c r="L88" s="1"/>
      <c r="M88" s="1"/>
    </row>
    <row r="89" spans="1:13" outlineLevel="1" x14ac:dyDescent="0.25">
      <c r="A89" s="4" t="s">
        <v>175</v>
      </c>
      <c r="F89" s="38"/>
      <c r="H89" s="39"/>
      <c r="I89" s="1"/>
      <c r="J89" s="1"/>
      <c r="K89" s="1"/>
      <c r="L89" s="1"/>
      <c r="M89" s="1"/>
    </row>
    <row r="90" spans="1:13" outlineLevel="1" x14ac:dyDescent="0.25">
      <c r="A90" s="5" t="s">
        <v>176</v>
      </c>
      <c r="B90">
        <v>1</v>
      </c>
      <c r="C90" t="s">
        <v>45</v>
      </c>
      <c r="D90">
        <v>200</v>
      </c>
      <c r="E90" t="s">
        <v>12</v>
      </c>
      <c r="F90" s="38">
        <f>pr_pT(B90,D90)</f>
        <v>0.95780821438588049</v>
      </c>
      <c r="G90" s="5" t="s">
        <v>177</v>
      </c>
      <c r="H90" s="39"/>
      <c r="I90" s="1"/>
      <c r="J90" s="1"/>
      <c r="K90" s="1"/>
      <c r="L90" s="1"/>
      <c r="M90" s="1"/>
    </row>
    <row r="91" spans="1:13" outlineLevel="1" x14ac:dyDescent="0.25">
      <c r="A91" s="5" t="s">
        <v>178</v>
      </c>
      <c r="B91">
        <v>1</v>
      </c>
      <c r="C91" t="s">
        <v>45</v>
      </c>
      <c r="D91">
        <v>2875.4750649489024</v>
      </c>
      <c r="E91" t="s">
        <v>19</v>
      </c>
      <c r="F91" s="38">
        <f>pr_ph(B91,D91)</f>
        <v>0.95780826148355769</v>
      </c>
      <c r="G91" s="5" t="s">
        <v>177</v>
      </c>
      <c r="H91" s="39"/>
      <c r="I91" s="1"/>
      <c r="J91" s="1"/>
      <c r="K91" s="1"/>
      <c r="L91" s="1"/>
      <c r="M91" s="1"/>
    </row>
    <row r="92" spans="1:13" s="36" customFormat="1" x14ac:dyDescent="0.2">
      <c r="A92" s="35" t="s">
        <v>179</v>
      </c>
      <c r="F92" s="37"/>
      <c r="G92" s="37"/>
      <c r="H92" s="40"/>
      <c r="I92" s="40"/>
      <c r="J92" s="40"/>
      <c r="K92" s="40"/>
      <c r="L92" s="40"/>
      <c r="M92" s="40"/>
    </row>
    <row r="93" spans="1:13" s="4" customFormat="1" ht="11.25" outlineLevel="1" x14ac:dyDescent="0.2">
      <c r="A93" s="4" t="s">
        <v>180</v>
      </c>
      <c r="F93" s="34"/>
      <c r="G93" s="34"/>
    </row>
    <row r="94" spans="1:13" s="4" customFormat="1" ht="12.75" outlineLevel="1" x14ac:dyDescent="0.2">
      <c r="A94" s="5" t="s">
        <v>181</v>
      </c>
      <c r="B94" s="3">
        <v>100</v>
      </c>
      <c r="C94" s="3" t="s">
        <v>45</v>
      </c>
      <c r="D94" s="3"/>
      <c r="E94" s="3"/>
      <c r="F94" s="5">
        <f>tcL_p(B94)</f>
        <v>0.52454019458257217</v>
      </c>
      <c r="G94" s="5" t="s">
        <v>182</v>
      </c>
      <c r="H94" s="3" t="s">
        <v>183</v>
      </c>
    </row>
    <row r="95" spans="1:13" s="4" customFormat="1" ht="12.75" outlineLevel="1" x14ac:dyDescent="0.2">
      <c r="A95" s="5" t="s">
        <v>184</v>
      </c>
      <c r="B95" s="3">
        <v>1</v>
      </c>
      <c r="C95" s="3" t="s">
        <v>45</v>
      </c>
      <c r="D95" s="3"/>
      <c r="E95" s="3"/>
      <c r="F95" s="5">
        <f>tcV_p(B95)</f>
        <v>2.4753667592350453E-2</v>
      </c>
      <c r="G95" s="5" t="s">
        <v>182</v>
      </c>
      <c r="H95" s="3" t="s">
        <v>185</v>
      </c>
    </row>
    <row r="96" spans="1:13" s="4" customFormat="1" ht="12.75" outlineLevel="1" x14ac:dyDescent="0.2">
      <c r="A96" s="5" t="s">
        <v>186</v>
      </c>
      <c r="B96" s="3">
        <v>100</v>
      </c>
      <c r="C96" s="3" t="s">
        <v>12</v>
      </c>
      <c r="D96" s="3"/>
      <c r="E96" s="3"/>
      <c r="F96" s="5">
        <f>tcL_T(B96)</f>
        <v>0.67775751158715036</v>
      </c>
      <c r="G96" s="5" t="s">
        <v>182</v>
      </c>
      <c r="H96" s="3" t="s">
        <v>183</v>
      </c>
    </row>
    <row r="97" spans="1:8" s="4" customFormat="1" ht="12.75" outlineLevel="1" x14ac:dyDescent="0.2">
      <c r="A97" s="5" t="s">
        <v>187</v>
      </c>
      <c r="B97" s="3">
        <v>100</v>
      </c>
      <c r="C97" s="3" t="s">
        <v>12</v>
      </c>
      <c r="D97" s="3"/>
      <c r="E97" s="3"/>
      <c r="F97" s="5">
        <f>tcV_T(B97)</f>
        <v>2.4793871441017475E-2</v>
      </c>
      <c r="G97" s="5" t="s">
        <v>182</v>
      </c>
      <c r="H97" s="3" t="s">
        <v>185</v>
      </c>
    </row>
    <row r="98" spans="1:8" s="4" customFormat="1" ht="12.75" outlineLevel="1" x14ac:dyDescent="0.2">
      <c r="A98" s="5" t="s">
        <v>188</v>
      </c>
      <c r="B98" s="3">
        <v>100</v>
      </c>
      <c r="C98" s="3" t="s">
        <v>45</v>
      </c>
      <c r="D98" s="3">
        <v>350</v>
      </c>
      <c r="E98" s="3" t="s">
        <v>12</v>
      </c>
      <c r="F98" s="5">
        <f>tc_pt(B98,D98)</f>
        <v>6.8545303752530942E-2</v>
      </c>
      <c r="G98" s="5" t="s">
        <v>182</v>
      </c>
      <c r="H98" s="3" t="s">
        <v>189</v>
      </c>
    </row>
    <row r="99" spans="1:8" s="4" customFormat="1" ht="12.75" outlineLevel="1" x14ac:dyDescent="0.2">
      <c r="A99" s="5" t="s">
        <v>190</v>
      </c>
      <c r="B99" s="3">
        <v>1</v>
      </c>
      <c r="C99" s="3" t="s">
        <v>45</v>
      </c>
      <c r="D99" s="3">
        <v>350</v>
      </c>
      <c r="E99" s="3" t="s">
        <v>49</v>
      </c>
      <c r="F99" s="5">
        <f>tc_ph(B99,D99)</f>
        <v>0.66929633215745066</v>
      </c>
      <c r="G99" s="5" t="s">
        <v>182</v>
      </c>
      <c r="H99" s="3" t="s">
        <v>191</v>
      </c>
    </row>
    <row r="100" spans="1:8" s="4" customFormat="1" ht="12.75" outlineLevel="1" x14ac:dyDescent="0.2">
      <c r="A100" s="5" t="s">
        <v>192</v>
      </c>
      <c r="B100" s="3">
        <v>100</v>
      </c>
      <c r="C100" s="3" t="s">
        <v>49</v>
      </c>
      <c r="D100" s="3">
        <v>0.34</v>
      </c>
      <c r="E100" s="3" t="s">
        <v>49</v>
      </c>
      <c r="F100" s="5">
        <f>tc_hs(B100,D100)</f>
        <v>0.60628312384891225</v>
      </c>
      <c r="G100" s="5" t="s">
        <v>182</v>
      </c>
      <c r="H100" s="3" t="s">
        <v>193</v>
      </c>
    </row>
    <row r="101" spans="1:8" s="4" customFormat="1" x14ac:dyDescent="0.2">
      <c r="A101" s="35" t="s">
        <v>194</v>
      </c>
      <c r="B101" s="3"/>
      <c r="C101" s="3"/>
      <c r="D101" s="3"/>
      <c r="E101" s="3"/>
      <c r="F101" s="5"/>
      <c r="G101" s="5"/>
      <c r="H101" s="3"/>
    </row>
    <row r="102" spans="1:8" s="4" customFormat="1" ht="11.25" outlineLevel="1" x14ac:dyDescent="0.2">
      <c r="A102" s="4" t="s">
        <v>195</v>
      </c>
      <c r="F102" s="34"/>
      <c r="G102" s="34"/>
    </row>
    <row r="103" spans="1:8" s="4" customFormat="1" ht="12.75" outlineLevel="1" x14ac:dyDescent="0.2">
      <c r="A103" s="5" t="s">
        <v>196</v>
      </c>
      <c r="B103" s="3">
        <v>100</v>
      </c>
      <c r="C103" s="3" t="s">
        <v>12</v>
      </c>
      <c r="D103" s="3"/>
      <c r="E103" s="3"/>
      <c r="F103" s="5">
        <f>st_T(B104)</f>
        <v>7.5507661585837646E-2</v>
      </c>
      <c r="G103" s="5" t="s">
        <v>197</v>
      </c>
      <c r="H103" s="3" t="s">
        <v>198</v>
      </c>
    </row>
    <row r="104" spans="1:8" s="4" customFormat="1" ht="12.75" outlineLevel="1" x14ac:dyDescent="0.2">
      <c r="A104" s="5" t="s">
        <v>199</v>
      </c>
      <c r="B104" s="3">
        <v>1</v>
      </c>
      <c r="C104" s="3" t="s">
        <v>45</v>
      </c>
      <c r="D104" s="3"/>
      <c r="E104" s="3"/>
      <c r="F104" s="5">
        <f>st_p(B104)</f>
        <v>5.8987784180859933E-2</v>
      </c>
      <c r="G104" s="5" t="s">
        <v>197</v>
      </c>
      <c r="H104" s="3" t="s">
        <v>198</v>
      </c>
    </row>
    <row r="105" spans="1:8" s="36" customFormat="1" x14ac:dyDescent="0.2">
      <c r="A105" s="35" t="s">
        <v>32</v>
      </c>
      <c r="F105" s="37"/>
      <c r="G105" s="37"/>
    </row>
    <row r="106" spans="1:8" s="4" customFormat="1" ht="12.75" outlineLevel="1" x14ac:dyDescent="0.2">
      <c r="A106" s="5" t="s">
        <v>200</v>
      </c>
      <c r="B106" s="3">
        <v>1</v>
      </c>
      <c r="C106" s="3" t="s">
        <v>45</v>
      </c>
      <c r="D106" s="3">
        <v>1000</v>
      </c>
      <c r="E106" s="3" t="s">
        <v>19</v>
      </c>
      <c r="F106" s="5">
        <f>x_ph(B106,D106)</f>
        <v>0.25805542390279518</v>
      </c>
      <c r="G106" s="5"/>
      <c r="H106" s="3" t="s">
        <v>201</v>
      </c>
    </row>
    <row r="107" spans="1:8" s="4" customFormat="1" ht="12.75" outlineLevel="1" x14ac:dyDescent="0.2">
      <c r="A107" s="5" t="s">
        <v>202</v>
      </c>
      <c r="B107" s="3">
        <v>1</v>
      </c>
      <c r="C107" s="3" t="s">
        <v>45</v>
      </c>
      <c r="D107" s="3">
        <v>4</v>
      </c>
      <c r="E107" s="3" t="s">
        <v>49</v>
      </c>
      <c r="F107" s="5">
        <f>x_ps(B107,D107)</f>
        <v>0.4453979607323203</v>
      </c>
      <c r="G107" s="5"/>
      <c r="H107" s="3" t="s">
        <v>203</v>
      </c>
    </row>
    <row r="108" spans="1:8" s="36" customFormat="1" x14ac:dyDescent="0.2">
      <c r="A108" s="35" t="s">
        <v>204</v>
      </c>
      <c r="F108" s="37"/>
      <c r="G108" s="37"/>
    </row>
    <row r="109" spans="1:8" s="4" customFormat="1" ht="11.25" outlineLevel="1" x14ac:dyDescent="0.2">
      <c r="A109" s="4" t="s">
        <v>205</v>
      </c>
      <c r="F109" s="34"/>
      <c r="G109" s="34"/>
    </row>
    <row r="110" spans="1:8" s="4" customFormat="1" ht="11.25" outlineLevel="1" x14ac:dyDescent="0.2">
      <c r="A110" s="4" t="s">
        <v>206</v>
      </c>
      <c r="F110" s="34"/>
      <c r="G110" s="34"/>
    </row>
    <row r="111" spans="1:8" s="4" customFormat="1" ht="12.75" outlineLevel="1" x14ac:dyDescent="0.2">
      <c r="A111" s="5" t="s">
        <v>207</v>
      </c>
      <c r="B111" s="3">
        <v>1</v>
      </c>
      <c r="C111" s="3" t="s">
        <v>45</v>
      </c>
      <c r="D111" s="3">
        <v>418</v>
      </c>
      <c r="E111" s="3" t="s">
        <v>19</v>
      </c>
      <c r="F111" s="41">
        <f>vx_ph(B111,D111)</f>
        <v>0.28849309343706725</v>
      </c>
      <c r="G111" s="5"/>
      <c r="H111" s="3" t="s">
        <v>208</v>
      </c>
    </row>
    <row r="112" spans="1:8" s="4" customFormat="1" ht="12.75" outlineLevel="1" x14ac:dyDescent="0.2">
      <c r="A112" s="5" t="s">
        <v>209</v>
      </c>
      <c r="B112" s="3">
        <v>1</v>
      </c>
      <c r="C112" s="3" t="s">
        <v>45</v>
      </c>
      <c r="D112" s="3">
        <v>4</v>
      </c>
      <c r="E112" s="3" t="s">
        <v>49</v>
      </c>
      <c r="F112" s="41">
        <f>vx_ps(B112,D112)</f>
        <v>0.99923382663888027</v>
      </c>
      <c r="G112" s="5"/>
      <c r="H112" s="3" t="s">
        <v>210</v>
      </c>
    </row>
    <row r="113" spans="1:7" s="4" customFormat="1" ht="11.25" x14ac:dyDescent="0.2">
      <c r="F113" s="34"/>
      <c r="G113" s="34"/>
    </row>
    <row r="114" spans="1:7" ht="15.75" x14ac:dyDescent="0.25">
      <c r="A114" s="35" t="s">
        <v>211</v>
      </c>
    </row>
    <row r="115" spans="1:7" x14ac:dyDescent="0.25">
      <c r="A115" s="34" t="s">
        <v>212</v>
      </c>
    </row>
    <row r="116" spans="1:7" x14ac:dyDescent="0.25">
      <c r="A116" s="4" t="s">
        <v>213</v>
      </c>
    </row>
    <row r="117" spans="1:7" x14ac:dyDescent="0.25">
      <c r="A117" s="4" t="s">
        <v>214</v>
      </c>
    </row>
    <row r="118" spans="1:7" x14ac:dyDescent="0.25">
      <c r="A118" s="34" t="s">
        <v>215</v>
      </c>
    </row>
    <row r="119" spans="1:7" x14ac:dyDescent="0.25">
      <c r="A119" s="4" t="s">
        <v>216</v>
      </c>
    </row>
    <row r="120" spans="1:7" x14ac:dyDescent="0.25">
      <c r="A120" s="4" t="s">
        <v>217</v>
      </c>
    </row>
    <row r="121" spans="1:7" x14ac:dyDescent="0.25">
      <c r="A121" s="4" t="s">
        <v>218</v>
      </c>
    </row>
    <row r="122" spans="1:7" x14ac:dyDescent="0.25">
      <c r="A122" s="34" t="s">
        <v>219</v>
      </c>
    </row>
    <row r="123" spans="1:7" x14ac:dyDescent="0.25">
      <c r="A123" s="4" t="s">
        <v>220</v>
      </c>
    </row>
    <row r="124" spans="1:7" x14ac:dyDescent="0.25">
      <c r="A124" s="34" t="s">
        <v>221</v>
      </c>
    </row>
    <row r="125" spans="1:7" x14ac:dyDescent="0.25">
      <c r="A125" s="4" t="s">
        <v>222</v>
      </c>
    </row>
    <row r="126" spans="1:7" x14ac:dyDescent="0.25">
      <c r="A126" s="4" t="s">
        <v>223</v>
      </c>
    </row>
    <row r="127" spans="1:7" ht="10.9" customHeight="1" x14ac:dyDescent="0.25">
      <c r="A127" s="4" t="s">
        <v>224</v>
      </c>
    </row>
    <row r="128" spans="1:7" ht="11.45" customHeight="1" x14ac:dyDescent="0.25">
      <c r="A128" s="4" t="s">
        <v>225</v>
      </c>
    </row>
    <row r="129" spans="1:1" ht="11.45" customHeight="1" x14ac:dyDescent="0.25">
      <c r="A129" s="34" t="s">
        <v>226</v>
      </c>
    </row>
    <row r="130" spans="1:1" x14ac:dyDescent="0.25">
      <c r="A130" s="4" t="s">
        <v>227</v>
      </c>
    </row>
    <row r="131" spans="1:1" x14ac:dyDescent="0.25">
      <c r="A131" s="4" t="s">
        <v>228</v>
      </c>
    </row>
    <row r="132" spans="1:1" x14ac:dyDescent="0.25">
      <c r="A132" s="4" t="s">
        <v>229</v>
      </c>
    </row>
    <row r="133" spans="1:1" x14ac:dyDescent="0.25">
      <c r="A133" s="4" t="s">
        <v>230</v>
      </c>
    </row>
    <row r="134" spans="1:1" x14ac:dyDescent="0.25">
      <c r="A134" s="4" t="s">
        <v>231</v>
      </c>
    </row>
    <row r="135" spans="1:1" x14ac:dyDescent="0.25">
      <c r="A135" s="34" t="s">
        <v>232</v>
      </c>
    </row>
    <row r="136" spans="1:1" x14ac:dyDescent="0.25">
      <c r="A136" s="4" t="s">
        <v>228</v>
      </c>
    </row>
    <row r="137" spans="1:1" x14ac:dyDescent="0.25">
      <c r="A137" s="4" t="s">
        <v>233</v>
      </c>
    </row>
    <row r="138" spans="1:1" x14ac:dyDescent="0.25">
      <c r="A138" s="4" t="s">
        <v>234</v>
      </c>
    </row>
    <row r="139" spans="1:1" x14ac:dyDescent="0.25">
      <c r="A139" s="4" t="s">
        <v>235</v>
      </c>
    </row>
    <row r="140" spans="1:1" x14ac:dyDescent="0.25">
      <c r="A140" s="4" t="s">
        <v>236</v>
      </c>
    </row>
    <row r="141" spans="1:1" x14ac:dyDescent="0.25">
      <c r="A141" s="34" t="s">
        <v>237</v>
      </c>
    </row>
    <row r="142" spans="1:1" x14ac:dyDescent="0.25">
      <c r="A142" s="4" t="s">
        <v>238</v>
      </c>
    </row>
    <row r="143" spans="1:1" x14ac:dyDescent="0.25">
      <c r="A143" s="4" t="s">
        <v>239</v>
      </c>
    </row>
    <row r="144" spans="1:1" x14ac:dyDescent="0.25">
      <c r="A144" s="4" t="s">
        <v>240</v>
      </c>
    </row>
    <row r="145" spans="1:1" x14ac:dyDescent="0.25">
      <c r="A145" s="34" t="s">
        <v>241</v>
      </c>
    </row>
    <row r="146" spans="1:1" x14ac:dyDescent="0.25">
      <c r="A146" s="4" t="s">
        <v>242</v>
      </c>
    </row>
    <row r="147" spans="1:1" x14ac:dyDescent="0.25">
      <c r="A147" s="4" t="s">
        <v>243</v>
      </c>
    </row>
    <row r="148" spans="1:1" x14ac:dyDescent="0.25">
      <c r="A148" s="4" t="s">
        <v>244</v>
      </c>
    </row>
    <row r="149" spans="1:1" x14ac:dyDescent="0.25">
      <c r="A149" s="4" t="s">
        <v>245</v>
      </c>
    </row>
    <row r="150" spans="1:1" x14ac:dyDescent="0.25">
      <c r="A150" s="4" t="s">
        <v>246</v>
      </c>
    </row>
  </sheetData>
  <hyperlinks>
    <hyperlink ref="E1" r:id="rId1"/>
    <hyperlink ref="F4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DX589"/>
  <sheetViews>
    <sheetView zoomScaleNormal="100" workbookViewId="0">
      <selection activeCell="DY7" sqref="DY7:ED32"/>
    </sheetView>
  </sheetViews>
  <sheetFormatPr defaultRowHeight="15" x14ac:dyDescent="0.25"/>
  <cols>
    <col min="1" max="1" width="29" style="45" customWidth="1"/>
    <col min="2" max="2" width="12.140625" style="45" customWidth="1"/>
    <col min="3" max="9" width="11.28515625" style="45" customWidth="1"/>
    <col min="10" max="244" width="11.42578125" style="45" customWidth="1"/>
    <col min="245" max="245" width="65.5703125" style="45" customWidth="1"/>
    <col min="246" max="246" width="29" style="45" customWidth="1"/>
    <col min="247" max="247" width="12.140625" style="45" customWidth="1"/>
    <col min="248" max="261" width="11.28515625" style="45" customWidth="1"/>
    <col min="262" max="500" width="11.42578125" style="45" customWidth="1"/>
    <col min="501" max="501" width="65.5703125" style="45" customWidth="1"/>
    <col min="502" max="502" width="29" style="45" customWidth="1"/>
    <col min="503" max="503" width="12.140625" style="45" customWidth="1"/>
    <col min="504" max="517" width="11.28515625" style="45" customWidth="1"/>
    <col min="518" max="756" width="11.42578125" style="45" customWidth="1"/>
    <col min="757" max="757" width="65.5703125" style="45" customWidth="1"/>
    <col min="758" max="758" width="29" style="45" customWidth="1"/>
    <col min="759" max="759" width="12.140625" style="45" customWidth="1"/>
    <col min="760" max="773" width="11.28515625" style="45" customWidth="1"/>
    <col min="774" max="1012" width="11.42578125" style="45" customWidth="1"/>
    <col min="1013" max="1013" width="65.5703125" style="45" customWidth="1"/>
    <col min="1014" max="1014" width="29" style="45" customWidth="1"/>
    <col min="1015" max="1015" width="12.140625" style="45" customWidth="1"/>
    <col min="1016" max="1029" width="11.28515625" style="45" customWidth="1"/>
    <col min="1030" max="1268" width="11.42578125" style="45" customWidth="1"/>
    <col min="1269" max="1269" width="65.5703125" style="45" customWidth="1"/>
    <col min="1270" max="1270" width="29" style="45" customWidth="1"/>
    <col min="1271" max="1271" width="12.140625" style="45" customWidth="1"/>
    <col min="1272" max="1285" width="11.28515625" style="45" customWidth="1"/>
    <col min="1286" max="1524" width="11.42578125" style="45" customWidth="1"/>
    <col min="1525" max="1525" width="65.5703125" style="45" customWidth="1"/>
    <col min="1526" max="1526" width="29" style="45" customWidth="1"/>
    <col min="1527" max="1527" width="12.140625" style="45" customWidth="1"/>
    <col min="1528" max="1541" width="11.28515625" style="45" customWidth="1"/>
    <col min="1542" max="1780" width="11.42578125" style="45" customWidth="1"/>
    <col min="1781" max="1781" width="65.5703125" style="45" customWidth="1"/>
    <col min="1782" max="1782" width="29" style="45" customWidth="1"/>
    <col min="1783" max="1783" width="12.140625" style="45" customWidth="1"/>
    <col min="1784" max="1797" width="11.28515625" style="45" customWidth="1"/>
    <col min="1798" max="2036" width="11.42578125" style="45" customWidth="1"/>
    <col min="2037" max="2037" width="65.5703125" style="45" customWidth="1"/>
    <col min="2038" max="2038" width="29" style="45" customWidth="1"/>
    <col min="2039" max="2039" width="12.140625" style="45" customWidth="1"/>
    <col min="2040" max="2053" width="11.28515625" style="45" customWidth="1"/>
    <col min="2054" max="2292" width="11.42578125" style="45" customWidth="1"/>
    <col min="2293" max="2293" width="65.5703125" style="45" customWidth="1"/>
    <col min="2294" max="2294" width="29" style="45" customWidth="1"/>
    <col min="2295" max="2295" width="12.140625" style="45" customWidth="1"/>
    <col min="2296" max="2309" width="11.28515625" style="45" customWidth="1"/>
    <col min="2310" max="2548" width="11.42578125" style="45" customWidth="1"/>
    <col min="2549" max="2549" width="65.5703125" style="45" customWidth="1"/>
    <col min="2550" max="2550" width="29" style="45" customWidth="1"/>
    <col min="2551" max="2551" width="12.140625" style="45" customWidth="1"/>
    <col min="2552" max="2565" width="11.28515625" style="45" customWidth="1"/>
    <col min="2566" max="2804" width="11.42578125" style="45" customWidth="1"/>
    <col min="2805" max="2805" width="65.5703125" style="45" customWidth="1"/>
    <col min="2806" max="2806" width="29" style="45" customWidth="1"/>
    <col min="2807" max="2807" width="12.140625" style="45" customWidth="1"/>
    <col min="2808" max="2821" width="11.28515625" style="45" customWidth="1"/>
    <col min="2822" max="3060" width="11.42578125" style="45" customWidth="1"/>
    <col min="3061" max="3061" width="65.5703125" style="45" customWidth="1"/>
    <col min="3062" max="3062" width="29" style="45" customWidth="1"/>
    <col min="3063" max="3063" width="12.140625" style="45" customWidth="1"/>
    <col min="3064" max="3077" width="11.28515625" style="45" customWidth="1"/>
    <col min="3078" max="3316" width="11.42578125" style="45" customWidth="1"/>
    <col min="3317" max="3317" width="65.5703125" style="45" customWidth="1"/>
    <col min="3318" max="3318" width="29" style="45" customWidth="1"/>
    <col min="3319" max="3319" width="12.140625" style="45" customWidth="1"/>
    <col min="3320" max="3333" width="11.28515625" style="45" customWidth="1"/>
    <col min="3334" max="3572" width="11.42578125" style="45" customWidth="1"/>
    <col min="3573" max="3573" width="65.5703125" style="45" customWidth="1"/>
    <col min="3574" max="3574" width="29" style="45" customWidth="1"/>
    <col min="3575" max="3575" width="12.140625" style="45" customWidth="1"/>
    <col min="3576" max="3589" width="11.28515625" style="45" customWidth="1"/>
    <col min="3590" max="3828" width="11.42578125" style="45" customWidth="1"/>
    <col min="3829" max="3829" width="65.5703125" style="45" customWidth="1"/>
    <col min="3830" max="3830" width="29" style="45" customWidth="1"/>
    <col min="3831" max="3831" width="12.140625" style="45" customWidth="1"/>
    <col min="3832" max="3845" width="11.28515625" style="45" customWidth="1"/>
    <col min="3846" max="4084" width="11.42578125" style="45" customWidth="1"/>
    <col min="4085" max="4085" width="65.5703125" style="45" customWidth="1"/>
    <col min="4086" max="4086" width="29" style="45" customWidth="1"/>
    <col min="4087" max="4087" width="12.140625" style="45" customWidth="1"/>
    <col min="4088" max="4101" width="11.28515625" style="45" customWidth="1"/>
    <col min="4102" max="4340" width="11.42578125" style="45" customWidth="1"/>
    <col min="4341" max="4341" width="65.5703125" style="45" customWidth="1"/>
    <col min="4342" max="4342" width="29" style="45" customWidth="1"/>
    <col min="4343" max="4343" width="12.140625" style="45" customWidth="1"/>
    <col min="4344" max="4357" width="11.28515625" style="45" customWidth="1"/>
    <col min="4358" max="4596" width="11.42578125" style="45" customWidth="1"/>
    <col min="4597" max="4597" width="65.5703125" style="45" customWidth="1"/>
    <col min="4598" max="4598" width="29" style="45" customWidth="1"/>
    <col min="4599" max="4599" width="12.140625" style="45" customWidth="1"/>
    <col min="4600" max="4613" width="11.28515625" style="45" customWidth="1"/>
    <col min="4614" max="4852" width="11.42578125" style="45" customWidth="1"/>
    <col min="4853" max="4853" width="65.5703125" style="45" customWidth="1"/>
    <col min="4854" max="4854" width="29" style="45" customWidth="1"/>
    <col min="4855" max="4855" width="12.140625" style="45" customWidth="1"/>
    <col min="4856" max="4869" width="11.28515625" style="45" customWidth="1"/>
    <col min="4870" max="5108" width="11.42578125" style="45" customWidth="1"/>
    <col min="5109" max="5109" width="65.5703125" style="45" customWidth="1"/>
    <col min="5110" max="5110" width="29" style="45" customWidth="1"/>
    <col min="5111" max="5111" width="12.140625" style="45" customWidth="1"/>
    <col min="5112" max="5125" width="11.28515625" style="45" customWidth="1"/>
    <col min="5126" max="5364" width="11.42578125" style="45" customWidth="1"/>
    <col min="5365" max="5365" width="65.5703125" style="45" customWidth="1"/>
    <col min="5366" max="5366" width="29" style="45" customWidth="1"/>
    <col min="5367" max="5367" width="12.140625" style="45" customWidth="1"/>
    <col min="5368" max="5381" width="11.28515625" style="45" customWidth="1"/>
    <col min="5382" max="5620" width="11.42578125" style="45" customWidth="1"/>
    <col min="5621" max="5621" width="65.5703125" style="45" customWidth="1"/>
    <col min="5622" max="5622" width="29" style="45" customWidth="1"/>
    <col min="5623" max="5623" width="12.140625" style="45" customWidth="1"/>
    <col min="5624" max="5637" width="11.28515625" style="45" customWidth="1"/>
    <col min="5638" max="5876" width="11.42578125" style="45" customWidth="1"/>
    <col min="5877" max="5877" width="65.5703125" style="45" customWidth="1"/>
    <col min="5878" max="5878" width="29" style="45" customWidth="1"/>
    <col min="5879" max="5879" width="12.140625" style="45" customWidth="1"/>
    <col min="5880" max="5893" width="11.28515625" style="45" customWidth="1"/>
    <col min="5894" max="6132" width="11.42578125" style="45" customWidth="1"/>
    <col min="6133" max="6133" width="65.5703125" style="45" customWidth="1"/>
    <col min="6134" max="6134" width="29" style="45" customWidth="1"/>
    <col min="6135" max="6135" width="12.140625" style="45" customWidth="1"/>
    <col min="6136" max="6149" width="11.28515625" style="45" customWidth="1"/>
    <col min="6150" max="6388" width="11.42578125" style="45" customWidth="1"/>
    <col min="6389" max="6389" width="65.5703125" style="45" customWidth="1"/>
    <col min="6390" max="6390" width="29" style="45" customWidth="1"/>
    <col min="6391" max="6391" width="12.140625" style="45" customWidth="1"/>
    <col min="6392" max="6405" width="11.28515625" style="45" customWidth="1"/>
    <col min="6406" max="6644" width="11.42578125" style="45" customWidth="1"/>
    <col min="6645" max="6645" width="65.5703125" style="45" customWidth="1"/>
    <col min="6646" max="6646" width="29" style="45" customWidth="1"/>
    <col min="6647" max="6647" width="12.140625" style="45" customWidth="1"/>
    <col min="6648" max="6661" width="11.28515625" style="45" customWidth="1"/>
    <col min="6662" max="6900" width="11.42578125" style="45" customWidth="1"/>
    <col min="6901" max="6901" width="65.5703125" style="45" customWidth="1"/>
    <col min="6902" max="6902" width="29" style="45" customWidth="1"/>
    <col min="6903" max="6903" width="12.140625" style="45" customWidth="1"/>
    <col min="6904" max="6917" width="11.28515625" style="45" customWidth="1"/>
    <col min="6918" max="7156" width="11.42578125" style="45" customWidth="1"/>
    <col min="7157" max="7157" width="65.5703125" style="45" customWidth="1"/>
    <col min="7158" max="7158" width="29" style="45" customWidth="1"/>
    <col min="7159" max="7159" width="12.140625" style="45" customWidth="1"/>
    <col min="7160" max="7173" width="11.28515625" style="45" customWidth="1"/>
    <col min="7174" max="7412" width="11.42578125" style="45" customWidth="1"/>
    <col min="7413" max="7413" width="65.5703125" style="45" customWidth="1"/>
    <col min="7414" max="7414" width="29" style="45" customWidth="1"/>
    <col min="7415" max="7415" width="12.140625" style="45" customWidth="1"/>
    <col min="7416" max="7429" width="11.28515625" style="45" customWidth="1"/>
    <col min="7430" max="7668" width="11.42578125" style="45" customWidth="1"/>
    <col min="7669" max="7669" width="65.5703125" style="45" customWidth="1"/>
    <col min="7670" max="7670" width="29" style="45" customWidth="1"/>
    <col min="7671" max="7671" width="12.140625" style="45" customWidth="1"/>
    <col min="7672" max="7685" width="11.28515625" style="45" customWidth="1"/>
    <col min="7686" max="7924" width="11.42578125" style="45" customWidth="1"/>
    <col min="7925" max="7925" width="65.5703125" style="45" customWidth="1"/>
    <col min="7926" max="7926" width="29" style="45" customWidth="1"/>
    <col min="7927" max="7927" width="12.140625" style="45" customWidth="1"/>
    <col min="7928" max="7941" width="11.28515625" style="45" customWidth="1"/>
    <col min="7942" max="8180" width="11.42578125" style="45" customWidth="1"/>
    <col min="8181" max="8181" width="65.5703125" style="45" customWidth="1"/>
    <col min="8182" max="8182" width="29" style="45" customWidth="1"/>
    <col min="8183" max="8183" width="12.140625" style="45" customWidth="1"/>
    <col min="8184" max="8197" width="11.28515625" style="45" customWidth="1"/>
    <col min="8198" max="8436" width="11.42578125" style="45" customWidth="1"/>
    <col min="8437" max="8437" width="65.5703125" style="45" customWidth="1"/>
    <col min="8438" max="8438" width="29" style="45" customWidth="1"/>
    <col min="8439" max="8439" width="12.140625" style="45" customWidth="1"/>
    <col min="8440" max="8453" width="11.28515625" style="45" customWidth="1"/>
    <col min="8454" max="8692" width="11.42578125" style="45" customWidth="1"/>
    <col min="8693" max="8693" width="65.5703125" style="45" customWidth="1"/>
    <col min="8694" max="8694" width="29" style="45" customWidth="1"/>
    <col min="8695" max="8695" width="12.140625" style="45" customWidth="1"/>
    <col min="8696" max="8709" width="11.28515625" style="45" customWidth="1"/>
    <col min="8710" max="8948" width="11.42578125" style="45" customWidth="1"/>
    <col min="8949" max="8949" width="65.5703125" style="45" customWidth="1"/>
    <col min="8950" max="8950" width="29" style="45" customWidth="1"/>
    <col min="8951" max="8951" width="12.140625" style="45" customWidth="1"/>
    <col min="8952" max="8965" width="11.28515625" style="45" customWidth="1"/>
    <col min="8966" max="9204" width="11.42578125" style="45" customWidth="1"/>
    <col min="9205" max="9205" width="65.5703125" style="45" customWidth="1"/>
    <col min="9206" max="9206" width="29" style="45" customWidth="1"/>
    <col min="9207" max="9207" width="12.140625" style="45" customWidth="1"/>
    <col min="9208" max="9221" width="11.28515625" style="45" customWidth="1"/>
    <col min="9222" max="9460" width="11.42578125" style="45" customWidth="1"/>
    <col min="9461" max="9461" width="65.5703125" style="45" customWidth="1"/>
    <col min="9462" max="9462" width="29" style="45" customWidth="1"/>
    <col min="9463" max="9463" width="12.140625" style="45" customWidth="1"/>
    <col min="9464" max="9477" width="11.28515625" style="45" customWidth="1"/>
    <col min="9478" max="9716" width="11.42578125" style="45" customWidth="1"/>
    <col min="9717" max="9717" width="65.5703125" style="45" customWidth="1"/>
    <col min="9718" max="9718" width="29" style="45" customWidth="1"/>
    <col min="9719" max="9719" width="12.140625" style="45" customWidth="1"/>
    <col min="9720" max="9733" width="11.28515625" style="45" customWidth="1"/>
    <col min="9734" max="9972" width="11.42578125" style="45" customWidth="1"/>
    <col min="9973" max="9973" width="65.5703125" style="45" customWidth="1"/>
    <col min="9974" max="9974" width="29" style="45" customWidth="1"/>
    <col min="9975" max="9975" width="12.140625" style="45" customWidth="1"/>
    <col min="9976" max="9989" width="11.28515625" style="45" customWidth="1"/>
    <col min="9990" max="10228" width="11.42578125" style="45" customWidth="1"/>
    <col min="10229" max="10229" width="65.5703125" style="45" customWidth="1"/>
    <col min="10230" max="10230" width="29" style="45" customWidth="1"/>
    <col min="10231" max="10231" width="12.140625" style="45" customWidth="1"/>
    <col min="10232" max="10245" width="11.28515625" style="45" customWidth="1"/>
    <col min="10246" max="10484" width="11.42578125" style="45" customWidth="1"/>
    <col min="10485" max="10485" width="65.5703125" style="45" customWidth="1"/>
    <col min="10486" max="10486" width="29" style="45" customWidth="1"/>
    <col min="10487" max="10487" width="12.140625" style="45" customWidth="1"/>
    <col min="10488" max="10501" width="11.28515625" style="45" customWidth="1"/>
    <col min="10502" max="10740" width="11.42578125" style="45" customWidth="1"/>
    <col min="10741" max="10741" width="65.5703125" style="45" customWidth="1"/>
    <col min="10742" max="10742" width="29" style="45" customWidth="1"/>
    <col min="10743" max="10743" width="12.140625" style="45" customWidth="1"/>
    <col min="10744" max="10757" width="11.28515625" style="45" customWidth="1"/>
    <col min="10758" max="10996" width="11.42578125" style="45" customWidth="1"/>
    <col min="10997" max="10997" width="65.5703125" style="45" customWidth="1"/>
    <col min="10998" max="10998" width="29" style="45" customWidth="1"/>
    <col min="10999" max="10999" width="12.140625" style="45" customWidth="1"/>
    <col min="11000" max="11013" width="11.28515625" style="45" customWidth="1"/>
    <col min="11014" max="11252" width="11.42578125" style="45" customWidth="1"/>
    <col min="11253" max="11253" width="65.5703125" style="45" customWidth="1"/>
    <col min="11254" max="11254" width="29" style="45" customWidth="1"/>
    <col min="11255" max="11255" width="12.140625" style="45" customWidth="1"/>
    <col min="11256" max="11269" width="11.28515625" style="45" customWidth="1"/>
    <col min="11270" max="11508" width="11.42578125" style="45" customWidth="1"/>
    <col min="11509" max="11509" width="65.5703125" style="45" customWidth="1"/>
    <col min="11510" max="11510" width="29" style="45" customWidth="1"/>
    <col min="11511" max="11511" width="12.140625" style="45" customWidth="1"/>
    <col min="11512" max="11525" width="11.28515625" style="45" customWidth="1"/>
    <col min="11526" max="11764" width="11.42578125" style="45" customWidth="1"/>
    <col min="11765" max="11765" width="65.5703125" style="45" customWidth="1"/>
    <col min="11766" max="11766" width="29" style="45" customWidth="1"/>
    <col min="11767" max="11767" width="12.140625" style="45" customWidth="1"/>
    <col min="11768" max="11781" width="11.28515625" style="45" customWidth="1"/>
    <col min="11782" max="12020" width="11.42578125" style="45" customWidth="1"/>
    <col min="12021" max="12021" width="65.5703125" style="45" customWidth="1"/>
    <col min="12022" max="12022" width="29" style="45" customWidth="1"/>
    <col min="12023" max="12023" width="12.140625" style="45" customWidth="1"/>
    <col min="12024" max="12037" width="11.28515625" style="45" customWidth="1"/>
    <col min="12038" max="12276" width="11.42578125" style="45" customWidth="1"/>
    <col min="12277" max="12277" width="65.5703125" style="45" customWidth="1"/>
    <col min="12278" max="12278" width="29" style="45" customWidth="1"/>
    <col min="12279" max="12279" width="12.140625" style="45" customWidth="1"/>
    <col min="12280" max="12293" width="11.28515625" style="45" customWidth="1"/>
    <col min="12294" max="12532" width="11.42578125" style="45" customWidth="1"/>
    <col min="12533" max="12533" width="65.5703125" style="45" customWidth="1"/>
    <col min="12534" max="12534" width="29" style="45" customWidth="1"/>
    <col min="12535" max="12535" width="12.140625" style="45" customWidth="1"/>
    <col min="12536" max="12549" width="11.28515625" style="45" customWidth="1"/>
    <col min="12550" max="12788" width="11.42578125" style="45" customWidth="1"/>
    <col min="12789" max="12789" width="65.5703125" style="45" customWidth="1"/>
    <col min="12790" max="12790" width="29" style="45" customWidth="1"/>
    <col min="12791" max="12791" width="12.140625" style="45" customWidth="1"/>
    <col min="12792" max="12805" width="11.28515625" style="45" customWidth="1"/>
    <col min="12806" max="13044" width="11.42578125" style="45" customWidth="1"/>
    <col min="13045" max="13045" width="65.5703125" style="45" customWidth="1"/>
    <col min="13046" max="13046" width="29" style="45" customWidth="1"/>
    <col min="13047" max="13047" width="12.140625" style="45" customWidth="1"/>
    <col min="13048" max="13061" width="11.28515625" style="45" customWidth="1"/>
    <col min="13062" max="13300" width="11.42578125" style="45" customWidth="1"/>
    <col min="13301" max="13301" width="65.5703125" style="45" customWidth="1"/>
    <col min="13302" max="13302" width="29" style="45" customWidth="1"/>
    <col min="13303" max="13303" width="12.140625" style="45" customWidth="1"/>
    <col min="13304" max="13317" width="11.28515625" style="45" customWidth="1"/>
    <col min="13318" max="13556" width="11.42578125" style="45" customWidth="1"/>
    <col min="13557" max="13557" width="65.5703125" style="45" customWidth="1"/>
    <col min="13558" max="13558" width="29" style="45" customWidth="1"/>
    <col min="13559" max="13559" width="12.140625" style="45" customWidth="1"/>
    <col min="13560" max="13573" width="11.28515625" style="45" customWidth="1"/>
    <col min="13574" max="13812" width="11.42578125" style="45" customWidth="1"/>
    <col min="13813" max="13813" width="65.5703125" style="45" customWidth="1"/>
    <col min="13814" max="13814" width="29" style="45" customWidth="1"/>
    <col min="13815" max="13815" width="12.140625" style="45" customWidth="1"/>
    <col min="13816" max="13829" width="11.28515625" style="45" customWidth="1"/>
    <col min="13830" max="14068" width="11.42578125" style="45" customWidth="1"/>
    <col min="14069" max="14069" width="65.5703125" style="45" customWidth="1"/>
    <col min="14070" max="14070" width="29" style="45" customWidth="1"/>
    <col min="14071" max="14071" width="12.140625" style="45" customWidth="1"/>
    <col min="14072" max="14085" width="11.28515625" style="45" customWidth="1"/>
    <col min="14086" max="14324" width="11.42578125" style="45" customWidth="1"/>
    <col min="14325" max="14325" width="65.5703125" style="45" customWidth="1"/>
    <col min="14326" max="14326" width="29" style="45" customWidth="1"/>
    <col min="14327" max="14327" width="12.140625" style="45" customWidth="1"/>
    <col min="14328" max="14341" width="11.28515625" style="45" customWidth="1"/>
    <col min="14342" max="14580" width="11.42578125" style="45" customWidth="1"/>
    <col min="14581" max="14581" width="65.5703125" style="45" customWidth="1"/>
    <col min="14582" max="14582" width="29" style="45" customWidth="1"/>
    <col min="14583" max="14583" width="12.140625" style="45" customWidth="1"/>
    <col min="14584" max="14597" width="11.28515625" style="45" customWidth="1"/>
    <col min="14598" max="14836" width="11.42578125" style="45" customWidth="1"/>
    <col min="14837" max="14837" width="65.5703125" style="45" customWidth="1"/>
    <col min="14838" max="14838" width="29" style="45" customWidth="1"/>
    <col min="14839" max="14839" width="12.140625" style="45" customWidth="1"/>
    <col min="14840" max="14853" width="11.28515625" style="45" customWidth="1"/>
    <col min="14854" max="15092" width="11.42578125" style="45" customWidth="1"/>
    <col min="15093" max="15093" width="65.5703125" style="45" customWidth="1"/>
    <col min="15094" max="15094" width="29" style="45" customWidth="1"/>
    <col min="15095" max="15095" width="12.140625" style="45" customWidth="1"/>
    <col min="15096" max="15109" width="11.28515625" style="45" customWidth="1"/>
    <col min="15110" max="15348" width="11.42578125" style="45" customWidth="1"/>
    <col min="15349" max="15349" width="65.5703125" style="45" customWidth="1"/>
    <col min="15350" max="15350" width="29" style="45" customWidth="1"/>
    <col min="15351" max="15351" width="12.140625" style="45" customWidth="1"/>
    <col min="15352" max="15365" width="11.28515625" style="45" customWidth="1"/>
    <col min="15366" max="15604" width="11.42578125" style="45" customWidth="1"/>
    <col min="15605" max="15605" width="65.5703125" style="45" customWidth="1"/>
    <col min="15606" max="15606" width="29" style="45" customWidth="1"/>
    <col min="15607" max="15607" width="12.140625" style="45" customWidth="1"/>
    <col min="15608" max="15621" width="11.28515625" style="45" customWidth="1"/>
    <col min="15622" max="15860" width="11.42578125" style="45" customWidth="1"/>
    <col min="15861" max="15861" width="65.5703125" style="45" customWidth="1"/>
    <col min="15862" max="15862" width="29" style="45" customWidth="1"/>
    <col min="15863" max="15863" width="12.140625" style="45" customWidth="1"/>
    <col min="15864" max="15877" width="11.28515625" style="45" customWidth="1"/>
    <col min="15878" max="16116" width="11.42578125" style="45" customWidth="1"/>
    <col min="16117" max="16117" width="65.5703125" style="45" customWidth="1"/>
    <col min="16118" max="16118" width="29" style="45" customWidth="1"/>
    <col min="16119" max="16119" width="12.140625" style="45" customWidth="1"/>
    <col min="16120" max="16133" width="11.28515625" style="45" customWidth="1"/>
    <col min="16134" max="16384" width="11.42578125" style="45" customWidth="1"/>
  </cols>
  <sheetData>
    <row r="1" spans="1:128" x14ac:dyDescent="0.25">
      <c r="A1" s="324">
        <v>44802</v>
      </c>
      <c r="B1" s="325">
        <v>0.54056712962962961</v>
      </c>
    </row>
    <row r="5" spans="1:128" x14ac:dyDescent="0.25">
      <c r="H5" s="326" t="s">
        <v>1468</v>
      </c>
    </row>
    <row r="6" spans="1:128" x14ac:dyDescent="0.25">
      <c r="A6" s="45">
        <f>COLUMN()</f>
        <v>1</v>
      </c>
      <c r="B6" s="45">
        <f>COLUMN()</f>
        <v>2</v>
      </c>
      <c r="C6" s="45">
        <f>COLUMN()</f>
        <v>3</v>
      </c>
      <c r="D6" s="45">
        <f>COLUMN()</f>
        <v>4</v>
      </c>
      <c r="E6" s="45">
        <f>COLUMN()</f>
        <v>5</v>
      </c>
      <c r="F6" s="45">
        <f>COLUMN()</f>
        <v>6</v>
      </c>
      <c r="G6" s="45">
        <f>COLUMN()</f>
        <v>7</v>
      </c>
      <c r="H6" s="45">
        <f>COLUMN()</f>
        <v>8</v>
      </c>
      <c r="I6" s="45">
        <f>COLUMN()</f>
        <v>9</v>
      </c>
      <c r="J6" s="45">
        <f>COLUMN()</f>
        <v>10</v>
      </c>
      <c r="K6" s="45">
        <f>COLUMN()</f>
        <v>11</v>
      </c>
      <c r="L6" s="45">
        <f>COLUMN()</f>
        <v>12</v>
      </c>
      <c r="M6" s="45">
        <f>COLUMN()</f>
        <v>13</v>
      </c>
      <c r="N6" s="45">
        <f>COLUMN()</f>
        <v>14</v>
      </c>
      <c r="O6" s="45">
        <f>COLUMN()</f>
        <v>15</v>
      </c>
      <c r="P6" s="45">
        <f>COLUMN()</f>
        <v>16</v>
      </c>
      <c r="Q6" s="45">
        <f>COLUMN()</f>
        <v>17</v>
      </c>
      <c r="R6" s="45">
        <f>COLUMN()</f>
        <v>18</v>
      </c>
      <c r="S6" s="45">
        <f>COLUMN()</f>
        <v>19</v>
      </c>
      <c r="T6" s="45">
        <f>COLUMN()</f>
        <v>20</v>
      </c>
      <c r="U6" s="45">
        <f>COLUMN()</f>
        <v>21</v>
      </c>
      <c r="V6" s="45">
        <f>COLUMN()</f>
        <v>22</v>
      </c>
      <c r="W6" s="45">
        <f>COLUMN()</f>
        <v>23</v>
      </c>
      <c r="X6" s="45">
        <f>COLUMN()</f>
        <v>24</v>
      </c>
      <c r="Y6" s="45">
        <f>COLUMN()</f>
        <v>25</v>
      </c>
      <c r="Z6" s="45">
        <f>COLUMN()</f>
        <v>26</v>
      </c>
      <c r="AA6" s="45">
        <f>COLUMN()</f>
        <v>27</v>
      </c>
      <c r="AB6" s="45">
        <f>COLUMN()</f>
        <v>28</v>
      </c>
      <c r="AC6" s="45">
        <f>COLUMN()</f>
        <v>29</v>
      </c>
      <c r="AD6" s="45">
        <f>COLUMN()</f>
        <v>30</v>
      </c>
      <c r="AE6" s="45">
        <f>COLUMN()</f>
        <v>31</v>
      </c>
      <c r="AF6" s="45">
        <f>COLUMN()</f>
        <v>32</v>
      </c>
      <c r="AG6" s="45">
        <f>COLUMN()</f>
        <v>33</v>
      </c>
      <c r="AH6" s="45">
        <f>COLUMN()</f>
        <v>34</v>
      </c>
      <c r="AI6" s="45">
        <f>COLUMN()</f>
        <v>35</v>
      </c>
      <c r="AJ6" s="45">
        <f>COLUMN()</f>
        <v>36</v>
      </c>
      <c r="AK6" s="45">
        <f>COLUMN()</f>
        <v>37</v>
      </c>
      <c r="AL6" s="45">
        <f>COLUMN()</f>
        <v>38</v>
      </c>
      <c r="AM6" s="45">
        <f>COLUMN()</f>
        <v>39</v>
      </c>
      <c r="AN6" s="45">
        <f>COLUMN()</f>
        <v>40</v>
      </c>
      <c r="AO6" s="45">
        <f>COLUMN()</f>
        <v>41</v>
      </c>
      <c r="AP6" s="45">
        <f>COLUMN()</f>
        <v>42</v>
      </c>
      <c r="AQ6" s="45">
        <f>COLUMN()</f>
        <v>43</v>
      </c>
      <c r="AR6" s="45">
        <f>COLUMN()</f>
        <v>44</v>
      </c>
      <c r="AS6" s="45">
        <f>COLUMN()</f>
        <v>45</v>
      </c>
      <c r="AT6" s="45">
        <f>COLUMN()</f>
        <v>46</v>
      </c>
      <c r="AU6" s="45">
        <f>COLUMN()</f>
        <v>47</v>
      </c>
      <c r="AV6" s="45">
        <f>COLUMN()</f>
        <v>48</v>
      </c>
      <c r="AW6" s="45">
        <f>COLUMN()</f>
        <v>49</v>
      </c>
      <c r="AX6" s="45">
        <f>COLUMN()</f>
        <v>50</v>
      </c>
      <c r="AY6" s="45">
        <f>COLUMN()</f>
        <v>51</v>
      </c>
      <c r="AZ6" s="45">
        <f>COLUMN()</f>
        <v>52</v>
      </c>
      <c r="BA6" s="45">
        <f>COLUMN()</f>
        <v>53</v>
      </c>
      <c r="BB6" s="45">
        <f>COLUMN()</f>
        <v>54</v>
      </c>
      <c r="BC6" s="45">
        <f>COLUMN()</f>
        <v>55</v>
      </c>
      <c r="BD6" s="45">
        <f>COLUMN()</f>
        <v>56</v>
      </c>
      <c r="BE6" s="45">
        <f>COLUMN()</f>
        <v>57</v>
      </c>
      <c r="BF6" s="45">
        <f>COLUMN()</f>
        <v>58</v>
      </c>
      <c r="BG6" s="45">
        <f>COLUMN()</f>
        <v>59</v>
      </c>
      <c r="BH6" s="45">
        <f>COLUMN()</f>
        <v>60</v>
      </c>
      <c r="BI6" s="45">
        <f>COLUMN()</f>
        <v>61</v>
      </c>
      <c r="BJ6" s="45">
        <f>COLUMN()</f>
        <v>62</v>
      </c>
      <c r="BK6" s="45">
        <f>COLUMN()</f>
        <v>63</v>
      </c>
      <c r="BL6" s="45">
        <f>COLUMN()</f>
        <v>64</v>
      </c>
      <c r="BM6" s="45">
        <f>COLUMN()</f>
        <v>65</v>
      </c>
      <c r="BN6" s="45">
        <f>COLUMN()</f>
        <v>66</v>
      </c>
      <c r="BO6" s="45">
        <f>COLUMN()</f>
        <v>67</v>
      </c>
      <c r="BP6" s="45">
        <f>COLUMN()</f>
        <v>68</v>
      </c>
      <c r="BQ6" s="45">
        <f>COLUMN()</f>
        <v>69</v>
      </c>
      <c r="BR6" s="45">
        <f>COLUMN()</f>
        <v>70</v>
      </c>
      <c r="BS6" s="45">
        <f>COLUMN()</f>
        <v>71</v>
      </c>
      <c r="BT6" s="45">
        <f>COLUMN()</f>
        <v>72</v>
      </c>
      <c r="BU6" s="45">
        <f>COLUMN()</f>
        <v>73</v>
      </c>
      <c r="BV6" s="45">
        <f>COLUMN()</f>
        <v>74</v>
      </c>
      <c r="BW6" s="45">
        <f>COLUMN()</f>
        <v>75</v>
      </c>
      <c r="BX6" s="45">
        <f>COLUMN()</f>
        <v>76</v>
      </c>
      <c r="BY6" s="45">
        <f>COLUMN()</f>
        <v>77</v>
      </c>
      <c r="BZ6" s="45">
        <f>COLUMN()</f>
        <v>78</v>
      </c>
      <c r="CA6" s="45">
        <f>COLUMN()</f>
        <v>79</v>
      </c>
      <c r="CB6" s="45">
        <f>COLUMN()</f>
        <v>80</v>
      </c>
      <c r="CC6" s="45">
        <f>COLUMN()</f>
        <v>81</v>
      </c>
      <c r="CD6" s="45">
        <f>COLUMN()</f>
        <v>82</v>
      </c>
      <c r="CE6" s="45">
        <f>COLUMN()</f>
        <v>83</v>
      </c>
      <c r="CF6" s="45">
        <f>COLUMN()</f>
        <v>84</v>
      </c>
      <c r="CG6" s="45">
        <f>COLUMN()</f>
        <v>85</v>
      </c>
      <c r="CH6" s="45">
        <f>COLUMN()</f>
        <v>86</v>
      </c>
      <c r="CI6" s="45">
        <f>COLUMN()</f>
        <v>87</v>
      </c>
      <c r="CJ6" s="45">
        <f>COLUMN()</f>
        <v>88</v>
      </c>
      <c r="CK6" s="45">
        <f>COLUMN()</f>
        <v>89</v>
      </c>
      <c r="CL6" s="45">
        <f>COLUMN()</f>
        <v>90</v>
      </c>
      <c r="CM6" s="45">
        <f>COLUMN()</f>
        <v>91</v>
      </c>
      <c r="CN6" s="45">
        <f>COLUMN()</f>
        <v>92</v>
      </c>
      <c r="CO6" s="45">
        <f>COLUMN()</f>
        <v>93</v>
      </c>
      <c r="CP6" s="45">
        <f>COLUMN()</f>
        <v>94</v>
      </c>
      <c r="CQ6" s="45">
        <f>COLUMN()</f>
        <v>95</v>
      </c>
      <c r="CR6" s="45">
        <f>COLUMN()</f>
        <v>96</v>
      </c>
      <c r="CS6" s="45">
        <f>COLUMN()</f>
        <v>97</v>
      </c>
      <c r="CT6" s="45">
        <f>COLUMN()</f>
        <v>98</v>
      </c>
      <c r="CU6" s="45">
        <f>COLUMN()</f>
        <v>99</v>
      </c>
      <c r="CV6" s="45">
        <f>COLUMN()</f>
        <v>100</v>
      </c>
      <c r="CW6" s="45">
        <f>COLUMN()</f>
        <v>101</v>
      </c>
      <c r="CX6" s="45">
        <f>COLUMN()</f>
        <v>102</v>
      </c>
      <c r="CY6" s="45">
        <f>COLUMN()</f>
        <v>103</v>
      </c>
      <c r="CZ6" s="45">
        <f>COLUMN()</f>
        <v>104</v>
      </c>
      <c r="DA6" s="45">
        <f>COLUMN()</f>
        <v>105</v>
      </c>
      <c r="DB6" s="45">
        <f>COLUMN()</f>
        <v>106</v>
      </c>
      <c r="DC6" s="45">
        <f>COLUMN()</f>
        <v>107</v>
      </c>
      <c r="DD6" s="45">
        <f>COLUMN()</f>
        <v>108</v>
      </c>
      <c r="DE6" s="45">
        <f>COLUMN()</f>
        <v>109</v>
      </c>
      <c r="DF6" s="45">
        <f>COLUMN()</f>
        <v>110</v>
      </c>
      <c r="DG6" s="45">
        <f>COLUMN()</f>
        <v>111</v>
      </c>
      <c r="DH6" s="45">
        <f>COLUMN()</f>
        <v>112</v>
      </c>
      <c r="DI6" s="45">
        <f>COLUMN()</f>
        <v>113</v>
      </c>
      <c r="DJ6" s="45">
        <f>COLUMN()</f>
        <v>114</v>
      </c>
      <c r="DK6" s="45">
        <f>COLUMN()</f>
        <v>115</v>
      </c>
      <c r="DL6" s="45">
        <f>COLUMN()</f>
        <v>116</v>
      </c>
      <c r="DM6" s="45">
        <f>COLUMN()</f>
        <v>117</v>
      </c>
      <c r="DN6" s="45">
        <f>COLUMN()</f>
        <v>118</v>
      </c>
      <c r="DO6" s="45">
        <f>COLUMN()</f>
        <v>119</v>
      </c>
      <c r="DP6" s="45">
        <f>COLUMN()</f>
        <v>120</v>
      </c>
      <c r="DQ6" s="45">
        <f>COLUMN()</f>
        <v>121</v>
      </c>
      <c r="DR6" s="45">
        <f>COLUMN()</f>
        <v>122</v>
      </c>
      <c r="DS6" s="45">
        <f>COLUMN()</f>
        <v>123</v>
      </c>
      <c r="DT6" s="45">
        <f>COLUMN()</f>
        <v>124</v>
      </c>
      <c r="DU6" s="45">
        <f>COLUMN()</f>
        <v>125</v>
      </c>
      <c r="DV6" s="45">
        <f>COLUMN()</f>
        <v>126</v>
      </c>
      <c r="DW6" s="45">
        <f>COLUMN()</f>
        <v>127</v>
      </c>
      <c r="DX6" s="45">
        <f>COLUMN()</f>
        <v>128</v>
      </c>
    </row>
    <row r="7" spans="1:128" x14ac:dyDescent="0.25">
      <c r="B7" s="327" t="s">
        <v>943</v>
      </c>
      <c r="C7" s="327" t="s">
        <v>993</v>
      </c>
      <c r="D7" s="327" t="s">
        <v>959</v>
      </c>
      <c r="E7" s="327" t="s">
        <v>960</v>
      </c>
      <c r="F7" s="327" t="s">
        <v>961</v>
      </c>
      <c r="G7" s="327" t="s">
        <v>962</v>
      </c>
      <c r="H7" s="327" t="s">
        <v>963</v>
      </c>
      <c r="I7" s="327" t="s">
        <v>964</v>
      </c>
      <c r="J7" s="327" t="s">
        <v>965</v>
      </c>
      <c r="K7" s="327" t="s">
        <v>966</v>
      </c>
      <c r="L7" s="327" t="s">
        <v>967</v>
      </c>
      <c r="M7" s="327" t="s">
        <v>968</v>
      </c>
      <c r="N7" s="327" t="s">
        <v>969</v>
      </c>
      <c r="O7" s="327" t="s">
        <v>944</v>
      </c>
      <c r="P7" s="327" t="s">
        <v>944</v>
      </c>
      <c r="Q7" s="327" t="s">
        <v>945</v>
      </c>
      <c r="R7" s="327" t="s">
        <v>887</v>
      </c>
      <c r="S7" s="327" t="s">
        <v>970</v>
      </c>
      <c r="T7" s="327" t="s">
        <v>970</v>
      </c>
      <c r="U7" s="327" t="s">
        <v>888</v>
      </c>
      <c r="V7" s="327" t="s">
        <v>889</v>
      </c>
      <c r="W7" s="327" t="s">
        <v>890</v>
      </c>
      <c r="X7" s="327" t="s">
        <v>971</v>
      </c>
      <c r="Y7" s="327" t="s">
        <v>994</v>
      </c>
      <c r="Z7" s="327" t="s">
        <v>972</v>
      </c>
      <c r="AA7" s="327" t="s">
        <v>973</v>
      </c>
      <c r="AB7" s="327" t="s">
        <v>974</v>
      </c>
      <c r="AC7" s="327" t="s">
        <v>891</v>
      </c>
      <c r="AD7" s="327" t="s">
        <v>995</v>
      </c>
      <c r="AE7" s="327" t="s">
        <v>975</v>
      </c>
      <c r="AF7" s="327" t="s">
        <v>976</v>
      </c>
      <c r="AG7" s="327" t="s">
        <v>892</v>
      </c>
      <c r="AH7" s="327" t="s">
        <v>893</v>
      </c>
      <c r="AI7" s="327" t="s">
        <v>946</v>
      </c>
      <c r="AJ7" s="327" t="s">
        <v>977</v>
      </c>
      <c r="AK7" s="327" t="s">
        <v>978</v>
      </c>
      <c r="AL7" s="327" t="s">
        <v>894</v>
      </c>
      <c r="AM7" s="327" t="s">
        <v>895</v>
      </c>
      <c r="AN7" s="327" t="s">
        <v>896</v>
      </c>
      <c r="AO7" s="327" t="s">
        <v>897</v>
      </c>
      <c r="AP7" s="327" t="s">
        <v>898</v>
      </c>
      <c r="AQ7" s="327" t="s">
        <v>899</v>
      </c>
      <c r="AR7" s="327" t="s">
        <v>996</v>
      </c>
      <c r="AS7" s="327" t="s">
        <v>900</v>
      </c>
      <c r="AT7" s="327" t="s">
        <v>997</v>
      </c>
      <c r="AU7" s="327" t="s">
        <v>901</v>
      </c>
      <c r="AV7" s="327" t="s">
        <v>998</v>
      </c>
      <c r="AW7" s="327" t="s">
        <v>902</v>
      </c>
      <c r="AX7" s="327" t="s">
        <v>999</v>
      </c>
      <c r="AY7" s="327" t="s">
        <v>903</v>
      </c>
      <c r="AZ7" s="327" t="s">
        <v>1000</v>
      </c>
      <c r="BA7" s="327" t="s">
        <v>1001</v>
      </c>
      <c r="BB7" s="327" t="s">
        <v>1002</v>
      </c>
      <c r="BC7" s="327" t="s">
        <v>904</v>
      </c>
      <c r="BD7" s="327" t="s">
        <v>905</v>
      </c>
      <c r="BE7" s="327" t="s">
        <v>947</v>
      </c>
      <c r="BF7" s="327" t="s">
        <v>906</v>
      </c>
      <c r="BG7" s="327" t="s">
        <v>947</v>
      </c>
      <c r="BH7" s="327" t="s">
        <v>907</v>
      </c>
      <c r="BI7" s="327" t="s">
        <v>908</v>
      </c>
      <c r="BJ7" s="327" t="s">
        <v>908</v>
      </c>
      <c r="BK7" s="327" t="s">
        <v>948</v>
      </c>
      <c r="BL7" s="327" t="s">
        <v>948</v>
      </c>
      <c r="BM7" s="327" t="s">
        <v>909</v>
      </c>
      <c r="BN7" s="327" t="s">
        <v>909</v>
      </c>
      <c r="BO7" s="327" t="s">
        <v>948</v>
      </c>
      <c r="BP7" s="327" t="s">
        <v>948</v>
      </c>
      <c r="BQ7" s="327" t="s">
        <v>910</v>
      </c>
      <c r="BR7" s="327" t="s">
        <v>910</v>
      </c>
      <c r="BS7" s="327" t="s">
        <v>911</v>
      </c>
      <c r="BT7" s="327" t="s">
        <v>949</v>
      </c>
      <c r="BU7" s="327" t="s">
        <v>912</v>
      </c>
      <c r="BV7" s="327" t="s">
        <v>949</v>
      </c>
      <c r="BW7" s="327" t="s">
        <v>913</v>
      </c>
      <c r="BX7" s="327" t="s">
        <v>979</v>
      </c>
      <c r="BY7" s="327" t="s">
        <v>1003</v>
      </c>
      <c r="BZ7" s="327" t="s">
        <v>980</v>
      </c>
      <c r="CA7" s="327" t="s">
        <v>1004</v>
      </c>
      <c r="CB7" s="327" t="s">
        <v>981</v>
      </c>
      <c r="CC7" s="327" t="s">
        <v>1005</v>
      </c>
      <c r="CD7" s="327" t="s">
        <v>982</v>
      </c>
      <c r="CE7" s="327" t="s">
        <v>1006</v>
      </c>
      <c r="CF7" s="327" t="s">
        <v>914</v>
      </c>
      <c r="CG7" s="327" t="s">
        <v>1007</v>
      </c>
      <c r="CH7" s="327" t="s">
        <v>915</v>
      </c>
      <c r="CI7" s="327" t="s">
        <v>1008</v>
      </c>
      <c r="CJ7" s="327" t="s">
        <v>916</v>
      </c>
      <c r="CK7" s="327" t="s">
        <v>1009</v>
      </c>
      <c r="CL7" s="327" t="s">
        <v>950</v>
      </c>
      <c r="CM7" s="327" t="s">
        <v>1010</v>
      </c>
      <c r="CN7" s="327" t="s">
        <v>951</v>
      </c>
      <c r="CO7" s="327" t="s">
        <v>1011</v>
      </c>
      <c r="CP7" s="327" t="s">
        <v>917</v>
      </c>
      <c r="CQ7" s="327" t="s">
        <v>952</v>
      </c>
      <c r="CR7" s="327" t="s">
        <v>918</v>
      </c>
      <c r="CS7" s="327" t="s">
        <v>952</v>
      </c>
      <c r="CT7" s="327" t="s">
        <v>1411</v>
      </c>
      <c r="CU7" s="327" t="s">
        <v>1465</v>
      </c>
      <c r="CV7" s="327" t="s">
        <v>1412</v>
      </c>
      <c r="CW7" s="327" t="s">
        <v>1467</v>
      </c>
      <c r="CX7" s="327" t="s">
        <v>983</v>
      </c>
      <c r="CY7" s="327" t="s">
        <v>984</v>
      </c>
      <c r="CZ7" s="327" t="s">
        <v>985</v>
      </c>
      <c r="DA7" s="327" t="s">
        <v>986</v>
      </c>
      <c r="DB7" s="327" t="s">
        <v>987</v>
      </c>
      <c r="DC7" s="327" t="s">
        <v>988</v>
      </c>
      <c r="DD7" s="327" t="s">
        <v>989</v>
      </c>
      <c r="DE7" s="327" t="s">
        <v>1012</v>
      </c>
      <c r="DF7" s="327" t="s">
        <v>953</v>
      </c>
      <c r="DG7" s="327" t="s">
        <v>954</v>
      </c>
      <c r="DH7" s="327" t="s">
        <v>990</v>
      </c>
      <c r="DI7" s="327" t="s">
        <v>991</v>
      </c>
      <c r="DJ7" s="327" t="s">
        <v>955</v>
      </c>
      <c r="DK7" s="327" t="s">
        <v>956</v>
      </c>
      <c r="DL7" s="327" t="s">
        <v>956</v>
      </c>
      <c r="DM7" s="327" t="s">
        <v>957</v>
      </c>
      <c r="DN7" s="327" t="s">
        <v>957</v>
      </c>
      <c r="DO7" s="327" t="s">
        <v>1013</v>
      </c>
      <c r="DP7" s="327" t="s">
        <v>1014</v>
      </c>
      <c r="DQ7" s="327" t="s">
        <v>1015</v>
      </c>
      <c r="DR7" s="327" t="s">
        <v>1016</v>
      </c>
      <c r="DS7" s="327" t="s">
        <v>1017</v>
      </c>
      <c r="DT7" s="327" t="s">
        <v>1018</v>
      </c>
      <c r="DU7" s="327" t="s">
        <v>1019</v>
      </c>
      <c r="DV7" s="327" t="s">
        <v>1020</v>
      </c>
      <c r="DW7" s="327" t="s">
        <v>1021</v>
      </c>
      <c r="DX7" s="327" t="s">
        <v>1021</v>
      </c>
    </row>
    <row r="8" spans="1:128" x14ac:dyDescent="0.25">
      <c r="A8" s="328" t="s">
        <v>1476</v>
      </c>
      <c r="B8" s="335">
        <v>824.89</v>
      </c>
      <c r="C8" s="335">
        <v>0</v>
      </c>
      <c r="D8" s="335">
        <v>795.74</v>
      </c>
      <c r="E8" s="335">
        <v>24.58</v>
      </c>
      <c r="F8" s="335">
        <v>165.74</v>
      </c>
      <c r="G8" s="335">
        <v>246.94</v>
      </c>
      <c r="H8" s="335">
        <v>33.07</v>
      </c>
      <c r="I8" s="335">
        <v>16.71</v>
      </c>
      <c r="J8" s="335">
        <v>32.03</v>
      </c>
      <c r="K8" s="335">
        <v>17.61</v>
      </c>
      <c r="L8" s="335">
        <v>0</v>
      </c>
      <c r="M8" s="335">
        <v>246.93952899999999</v>
      </c>
      <c r="N8" s="335">
        <v>167.38</v>
      </c>
      <c r="O8" s="335">
        <v>247.1</v>
      </c>
      <c r="P8" s="335">
        <v>246.73</v>
      </c>
      <c r="Q8" s="335">
        <v>168.47</v>
      </c>
      <c r="R8" s="335">
        <v>250.17</v>
      </c>
      <c r="S8" s="335">
        <v>1.36</v>
      </c>
      <c r="T8" s="335">
        <v>1.38</v>
      </c>
      <c r="U8" s="335">
        <v>165.67</v>
      </c>
      <c r="V8" s="335">
        <v>301.68</v>
      </c>
      <c r="W8" s="335">
        <v>301.64</v>
      </c>
      <c r="X8" s="335">
        <v>404.28064000000001</v>
      </c>
      <c r="Y8" s="335">
        <v>0</v>
      </c>
      <c r="Z8" s="335">
        <v>0</v>
      </c>
      <c r="AA8" s="335">
        <v>404.06</v>
      </c>
      <c r="AB8" s="335">
        <v>407.67</v>
      </c>
      <c r="AC8" s="335">
        <v>354.36</v>
      </c>
      <c r="AD8" s="335">
        <v>337.9</v>
      </c>
      <c r="AE8" s="335">
        <v>-46.1</v>
      </c>
      <c r="AF8" s="335">
        <v>-50.73</v>
      </c>
      <c r="AG8" s="335">
        <v>-72.31</v>
      </c>
      <c r="AH8" s="335">
        <v>-73.209999999999994</v>
      </c>
      <c r="AI8" s="335">
        <v>162.4</v>
      </c>
      <c r="AJ8" s="335">
        <v>149.06</v>
      </c>
      <c r="AK8" s="335">
        <v>543.26</v>
      </c>
      <c r="AL8" s="335">
        <v>35.92</v>
      </c>
      <c r="AM8" s="335">
        <v>542.62</v>
      </c>
      <c r="AN8" s="335">
        <v>542.58000000000004</v>
      </c>
      <c r="AO8" s="335">
        <v>2.57</v>
      </c>
      <c r="AP8" s="335">
        <v>2.4300000000000002</v>
      </c>
      <c r="AQ8" s="335">
        <v>0</v>
      </c>
      <c r="AR8" s="335">
        <v>5.99</v>
      </c>
      <c r="AS8" s="335">
        <v>40.450000000000003</v>
      </c>
      <c r="AT8" s="335">
        <v>39.69</v>
      </c>
      <c r="AU8" s="335">
        <v>296.14</v>
      </c>
      <c r="AV8" s="335">
        <v>288.31</v>
      </c>
      <c r="AW8" s="335">
        <v>957.11</v>
      </c>
      <c r="AX8" s="335">
        <v>964.66</v>
      </c>
      <c r="AY8" s="335">
        <v>811.83</v>
      </c>
      <c r="AZ8" s="335">
        <v>828.39</v>
      </c>
      <c r="BA8" s="335">
        <v>103.87</v>
      </c>
      <c r="BB8" s="335">
        <v>101.69</v>
      </c>
      <c r="BC8" s="335">
        <v>201.57</v>
      </c>
      <c r="BD8" s="335">
        <v>42.92</v>
      </c>
      <c r="BE8" s="335">
        <v>43.52</v>
      </c>
      <c r="BF8" s="335">
        <v>42.52</v>
      </c>
      <c r="BG8" s="335">
        <v>42.51</v>
      </c>
      <c r="BH8" s="335">
        <v>30.06</v>
      </c>
      <c r="BI8" s="335">
        <v>76.989999999999995</v>
      </c>
      <c r="BJ8" s="335">
        <v>76.88</v>
      </c>
      <c r="BK8" s="335">
        <v>91.14</v>
      </c>
      <c r="BL8" s="335">
        <v>87.18</v>
      </c>
      <c r="BM8" s="335">
        <v>79.91</v>
      </c>
      <c r="BN8" s="335">
        <v>79.459999999999994</v>
      </c>
      <c r="BO8" s="335">
        <v>85.57</v>
      </c>
      <c r="BP8" s="335">
        <v>88.1</v>
      </c>
      <c r="BQ8" s="335">
        <v>73.260000000000005</v>
      </c>
      <c r="BR8" s="335">
        <v>75.95</v>
      </c>
      <c r="BS8" s="335">
        <v>235.86</v>
      </c>
      <c r="BT8" s="335">
        <v>0</v>
      </c>
      <c r="BU8" s="335">
        <v>273.64</v>
      </c>
      <c r="BV8" s="335">
        <v>255.44</v>
      </c>
      <c r="BW8" s="335">
        <v>0</v>
      </c>
      <c r="BX8" s="335">
        <v>32.96</v>
      </c>
      <c r="BY8" s="335">
        <v>31.93</v>
      </c>
      <c r="BZ8" s="335">
        <v>303.37</v>
      </c>
      <c r="CA8" s="335">
        <v>279.27</v>
      </c>
      <c r="CB8" s="335">
        <v>258.29000000000002</v>
      </c>
      <c r="CC8" s="335">
        <v>257.41000000000003</v>
      </c>
      <c r="CD8" s="335">
        <v>147.62</v>
      </c>
      <c r="CE8" s="335">
        <v>145.15</v>
      </c>
      <c r="CF8" s="335">
        <v>143.35</v>
      </c>
      <c r="CG8" s="335">
        <v>148.25</v>
      </c>
      <c r="CH8" s="335">
        <v>-78.900000000000006</v>
      </c>
      <c r="CI8" s="335">
        <v>-74.67</v>
      </c>
      <c r="CJ8" s="335">
        <v>-256.77999999999997</v>
      </c>
      <c r="CK8" s="335">
        <v>-244.25</v>
      </c>
      <c r="CL8" s="335">
        <v>33.24</v>
      </c>
      <c r="CM8" s="335">
        <v>34.799999999999997</v>
      </c>
      <c r="CN8" s="335">
        <v>266.89999999999998</v>
      </c>
      <c r="CO8" s="335">
        <v>269.26</v>
      </c>
      <c r="CP8" s="335">
        <v>42.41</v>
      </c>
      <c r="CQ8" s="335">
        <v>40.07</v>
      </c>
      <c r="CR8" s="335">
        <v>41.26</v>
      </c>
      <c r="CS8" s="335">
        <v>41.42</v>
      </c>
      <c r="CT8" s="335">
        <v>38.590000000000003</v>
      </c>
      <c r="CU8" s="335">
        <v>269.45999999999998</v>
      </c>
      <c r="CV8" s="335">
        <v>407.35</v>
      </c>
      <c r="CW8" s="335">
        <v>691.85</v>
      </c>
      <c r="CX8" s="335">
        <v>541.83000000000004</v>
      </c>
      <c r="CY8" s="335">
        <v>147.72</v>
      </c>
      <c r="CZ8" s="335">
        <v>347.72</v>
      </c>
      <c r="DA8" s="335">
        <v>37.729999999999997</v>
      </c>
      <c r="DB8" s="335">
        <v>540.07000000000005</v>
      </c>
      <c r="DC8" s="335">
        <v>539.5</v>
      </c>
      <c r="DD8" s="335">
        <v>35.58</v>
      </c>
      <c r="DE8" s="335">
        <v>0.1072</v>
      </c>
      <c r="DF8" s="335">
        <v>206.82</v>
      </c>
      <c r="DG8" s="335">
        <v>169.88</v>
      </c>
      <c r="DH8" s="335">
        <v>346.43</v>
      </c>
      <c r="DI8" s="335">
        <v>37.79</v>
      </c>
      <c r="DJ8" s="335">
        <v>213.77</v>
      </c>
      <c r="DK8" s="335">
        <v>36.26</v>
      </c>
      <c r="DL8" s="335">
        <v>36.33</v>
      </c>
      <c r="DM8" s="335">
        <v>45.49</v>
      </c>
      <c r="DN8" s="335">
        <v>45.18</v>
      </c>
      <c r="DO8" s="335">
        <v>541.83000000000004</v>
      </c>
      <c r="DP8" s="335">
        <v>541.29</v>
      </c>
      <c r="DQ8" s="335">
        <v>541.96</v>
      </c>
      <c r="DR8" s="335">
        <v>539.92999999999995</v>
      </c>
      <c r="DS8" s="335">
        <v>146.38</v>
      </c>
      <c r="DT8" s="335">
        <v>146</v>
      </c>
      <c r="DU8" s="335">
        <v>35.72</v>
      </c>
      <c r="DV8" s="335">
        <v>540.07000000000005</v>
      </c>
      <c r="DW8" s="335">
        <v>539.29</v>
      </c>
      <c r="DX8" s="335">
        <v>539.27</v>
      </c>
    </row>
    <row r="9" spans="1:128" x14ac:dyDescent="0.25">
      <c r="A9" s="328" t="s">
        <v>1477</v>
      </c>
      <c r="B9" s="335">
        <v>832.73</v>
      </c>
      <c r="C9" s="335">
        <v>0</v>
      </c>
      <c r="D9" s="335">
        <v>801.96</v>
      </c>
      <c r="E9" s="335">
        <v>24.63</v>
      </c>
      <c r="F9" s="335">
        <v>167.7</v>
      </c>
      <c r="G9" s="335">
        <v>247.16</v>
      </c>
      <c r="H9" s="335">
        <v>37.020000000000003</v>
      </c>
      <c r="I9" s="335">
        <v>14.83</v>
      </c>
      <c r="J9" s="335">
        <v>33.020000000000003</v>
      </c>
      <c r="K9" s="335">
        <v>18.02</v>
      </c>
      <c r="L9" s="335">
        <v>0</v>
      </c>
      <c r="M9" s="335">
        <v>247.05625000000001</v>
      </c>
      <c r="N9" s="335">
        <v>169.38</v>
      </c>
      <c r="O9" s="335">
        <v>247.33</v>
      </c>
      <c r="P9" s="335">
        <v>246.95</v>
      </c>
      <c r="Q9" s="335">
        <v>170.5</v>
      </c>
      <c r="R9" s="335">
        <v>250.08</v>
      </c>
      <c r="S9" s="335">
        <v>1.24</v>
      </c>
      <c r="T9" s="335">
        <v>1.26</v>
      </c>
      <c r="U9" s="335">
        <v>167.63</v>
      </c>
      <c r="V9" s="335">
        <v>302.49</v>
      </c>
      <c r="W9" s="335">
        <v>302.35000000000002</v>
      </c>
      <c r="X9" s="335">
        <v>404.62747200000001</v>
      </c>
      <c r="Y9" s="335">
        <v>0</v>
      </c>
      <c r="Z9" s="335">
        <v>0</v>
      </c>
      <c r="AA9" s="335">
        <v>404.63</v>
      </c>
      <c r="AB9" s="335">
        <v>408.18</v>
      </c>
      <c r="AC9" s="335">
        <v>354.8</v>
      </c>
      <c r="AD9" s="335">
        <v>338.17</v>
      </c>
      <c r="AE9" s="335">
        <v>-46.27</v>
      </c>
      <c r="AF9" s="335">
        <v>-51.45</v>
      </c>
      <c r="AG9" s="335">
        <v>-72.540000000000006</v>
      </c>
      <c r="AH9" s="335">
        <v>-73.41</v>
      </c>
      <c r="AI9" s="335">
        <v>164.49</v>
      </c>
      <c r="AJ9" s="335">
        <v>151.21</v>
      </c>
      <c r="AK9" s="335">
        <v>539.82000000000005</v>
      </c>
      <c r="AL9" s="335">
        <v>36.14</v>
      </c>
      <c r="AM9" s="335">
        <v>543.36</v>
      </c>
      <c r="AN9" s="335">
        <v>543.38</v>
      </c>
      <c r="AO9" s="335">
        <v>2.5499999999999998</v>
      </c>
      <c r="AP9" s="335">
        <v>2.4300000000000002</v>
      </c>
      <c r="AQ9" s="335">
        <v>0</v>
      </c>
      <c r="AR9" s="335">
        <v>6.01</v>
      </c>
      <c r="AS9" s="335">
        <v>40.18</v>
      </c>
      <c r="AT9" s="335">
        <v>39.380000000000003</v>
      </c>
      <c r="AU9" s="335">
        <v>296.23</v>
      </c>
      <c r="AV9" s="335">
        <v>288.36</v>
      </c>
      <c r="AW9" s="335">
        <v>956.08</v>
      </c>
      <c r="AX9" s="335">
        <v>963.64</v>
      </c>
      <c r="AY9" s="335">
        <v>810.88</v>
      </c>
      <c r="AZ9" s="335">
        <v>827.36</v>
      </c>
      <c r="BA9" s="335">
        <v>103.21</v>
      </c>
      <c r="BB9" s="335">
        <v>101.38</v>
      </c>
      <c r="BC9" s="335">
        <v>201.56</v>
      </c>
      <c r="BD9" s="335">
        <v>42.76</v>
      </c>
      <c r="BE9" s="335">
        <v>43.67</v>
      </c>
      <c r="BF9" s="335">
        <v>42.34</v>
      </c>
      <c r="BG9" s="335">
        <v>42.61</v>
      </c>
      <c r="BH9" s="335">
        <v>30.26</v>
      </c>
      <c r="BI9" s="335">
        <v>76.89</v>
      </c>
      <c r="BJ9" s="335">
        <v>76.75</v>
      </c>
      <c r="BK9" s="335">
        <v>90.63</v>
      </c>
      <c r="BL9" s="335">
        <v>86.62</v>
      </c>
      <c r="BM9" s="335">
        <v>79.900000000000006</v>
      </c>
      <c r="BN9" s="335">
        <v>79.349999999999994</v>
      </c>
      <c r="BO9" s="335">
        <v>85.68</v>
      </c>
      <c r="BP9" s="335">
        <v>88.15</v>
      </c>
      <c r="BQ9" s="335">
        <v>73.09</v>
      </c>
      <c r="BR9" s="335">
        <v>75.64</v>
      </c>
      <c r="BS9" s="335">
        <v>235.7</v>
      </c>
      <c r="BT9" s="335">
        <v>0</v>
      </c>
      <c r="BU9" s="335">
        <v>273.38</v>
      </c>
      <c r="BV9" s="335">
        <v>255.4</v>
      </c>
      <c r="BW9" s="335">
        <v>0</v>
      </c>
      <c r="BX9" s="335">
        <v>32.72</v>
      </c>
      <c r="BY9" s="335">
        <v>31.58</v>
      </c>
      <c r="BZ9" s="335">
        <v>303.42</v>
      </c>
      <c r="CA9" s="335">
        <v>279.45</v>
      </c>
      <c r="CB9" s="335">
        <v>258.04000000000002</v>
      </c>
      <c r="CC9" s="335">
        <v>256.64</v>
      </c>
      <c r="CD9" s="335">
        <v>147.05000000000001</v>
      </c>
      <c r="CE9" s="335">
        <v>144.61000000000001</v>
      </c>
      <c r="CF9" s="335">
        <v>144.1</v>
      </c>
      <c r="CG9" s="335">
        <v>148.07</v>
      </c>
      <c r="CH9" s="335">
        <v>-79.06</v>
      </c>
      <c r="CI9" s="335">
        <v>-74.84</v>
      </c>
      <c r="CJ9" s="335">
        <v>-257.27999999999997</v>
      </c>
      <c r="CK9" s="335">
        <v>-244.43</v>
      </c>
      <c r="CL9" s="335">
        <v>32.96</v>
      </c>
      <c r="CM9" s="335">
        <v>34.49</v>
      </c>
      <c r="CN9" s="335">
        <v>266.52</v>
      </c>
      <c r="CO9" s="335">
        <v>268.73</v>
      </c>
      <c r="CP9" s="335">
        <v>42.39</v>
      </c>
      <c r="CQ9" s="335">
        <v>39.94</v>
      </c>
      <c r="CR9" s="335">
        <v>41.26</v>
      </c>
      <c r="CS9" s="335">
        <v>41.48</v>
      </c>
      <c r="CT9" s="335">
        <v>38.619999999999997</v>
      </c>
      <c r="CU9" s="335">
        <v>271.77</v>
      </c>
      <c r="CV9" s="335">
        <v>406.69</v>
      </c>
      <c r="CW9" s="335">
        <v>690.82</v>
      </c>
      <c r="CX9" s="335">
        <v>539.04999999999995</v>
      </c>
      <c r="CY9" s="335">
        <v>149.91</v>
      </c>
      <c r="CZ9" s="335">
        <v>346.07</v>
      </c>
      <c r="DA9" s="335">
        <v>38</v>
      </c>
      <c r="DB9" s="335">
        <v>541.27</v>
      </c>
      <c r="DC9" s="335">
        <v>540.75</v>
      </c>
      <c r="DD9" s="335">
        <v>35.82</v>
      </c>
      <c r="DE9" s="335">
        <v>0.107</v>
      </c>
      <c r="DF9" s="335">
        <v>207.13</v>
      </c>
      <c r="DG9" s="335">
        <v>171.92</v>
      </c>
      <c r="DH9" s="335">
        <v>345.49</v>
      </c>
      <c r="DI9" s="335">
        <v>38.06</v>
      </c>
      <c r="DJ9" s="335">
        <v>213.84</v>
      </c>
      <c r="DK9" s="335">
        <v>36.19</v>
      </c>
      <c r="DL9" s="335">
        <v>36.26</v>
      </c>
      <c r="DM9" s="335">
        <v>45.32</v>
      </c>
      <c r="DN9" s="335">
        <v>44.97</v>
      </c>
      <c r="DO9" s="335">
        <v>539.04999999999995</v>
      </c>
      <c r="DP9" s="335">
        <v>538.59</v>
      </c>
      <c r="DQ9" s="335">
        <v>539.15</v>
      </c>
      <c r="DR9" s="335">
        <v>537.08000000000004</v>
      </c>
      <c r="DS9" s="335">
        <v>148.5</v>
      </c>
      <c r="DT9" s="335">
        <v>148.18</v>
      </c>
      <c r="DU9" s="335">
        <v>35.96</v>
      </c>
      <c r="DV9" s="335">
        <v>541.41</v>
      </c>
      <c r="DW9" s="335">
        <v>540.33000000000004</v>
      </c>
      <c r="DX9" s="335">
        <v>540.34</v>
      </c>
    </row>
    <row r="10" spans="1:128" x14ac:dyDescent="0.25">
      <c r="A10" s="328" t="s">
        <v>1478</v>
      </c>
      <c r="B10" s="335">
        <v>836.8</v>
      </c>
      <c r="C10" s="335">
        <v>0</v>
      </c>
      <c r="D10" s="335">
        <v>801.93</v>
      </c>
      <c r="E10" s="335">
        <v>24.63</v>
      </c>
      <c r="F10" s="335">
        <v>167.77</v>
      </c>
      <c r="G10" s="335">
        <v>247.16</v>
      </c>
      <c r="H10" s="335">
        <v>32.57</v>
      </c>
      <c r="I10" s="335">
        <v>14.61</v>
      </c>
      <c r="J10" s="335">
        <v>30.03</v>
      </c>
      <c r="K10" s="335">
        <v>17.86</v>
      </c>
      <c r="L10" s="335">
        <v>0</v>
      </c>
      <c r="M10" s="335">
        <v>247.568558</v>
      </c>
      <c r="N10" s="335">
        <v>169.58</v>
      </c>
      <c r="O10" s="335">
        <v>247.76</v>
      </c>
      <c r="P10" s="335">
        <v>247.36</v>
      </c>
      <c r="Q10" s="335">
        <v>170.63</v>
      </c>
      <c r="R10" s="335">
        <v>250.08</v>
      </c>
      <c r="S10" s="335">
        <v>1.24</v>
      </c>
      <c r="T10" s="335">
        <v>1.26</v>
      </c>
      <c r="U10" s="335">
        <v>167.71</v>
      </c>
      <c r="V10" s="335">
        <v>302.36</v>
      </c>
      <c r="W10" s="335">
        <v>302.35000000000002</v>
      </c>
      <c r="X10" s="335">
        <v>404.62747200000001</v>
      </c>
      <c r="Y10" s="335">
        <v>0</v>
      </c>
      <c r="Z10" s="335">
        <v>0</v>
      </c>
      <c r="AA10" s="335">
        <v>404.63</v>
      </c>
      <c r="AB10" s="335">
        <v>408.18</v>
      </c>
      <c r="AC10" s="335">
        <v>354.8</v>
      </c>
      <c r="AD10" s="335">
        <v>338.17</v>
      </c>
      <c r="AE10" s="335">
        <v>-45.8</v>
      </c>
      <c r="AF10" s="335">
        <v>-50.96</v>
      </c>
      <c r="AG10" s="335">
        <v>-72.09</v>
      </c>
      <c r="AH10" s="335">
        <v>-72.959999999999994</v>
      </c>
      <c r="AI10" s="335">
        <v>164.53</v>
      </c>
      <c r="AJ10" s="335">
        <v>151.1</v>
      </c>
      <c r="AK10" s="335">
        <v>537.52</v>
      </c>
      <c r="AL10" s="335">
        <v>36.14</v>
      </c>
      <c r="AM10" s="335">
        <v>541.11</v>
      </c>
      <c r="AN10" s="335">
        <v>541.20000000000005</v>
      </c>
      <c r="AO10" s="335">
        <v>2.54</v>
      </c>
      <c r="AP10" s="335">
        <v>2.44</v>
      </c>
      <c r="AQ10" s="335">
        <v>0</v>
      </c>
      <c r="AR10" s="335">
        <v>6.01</v>
      </c>
      <c r="AS10" s="335">
        <v>40.18</v>
      </c>
      <c r="AT10" s="335">
        <v>39.380000000000003</v>
      </c>
      <c r="AU10" s="335">
        <v>296.23</v>
      </c>
      <c r="AV10" s="335">
        <v>288.36</v>
      </c>
      <c r="AW10" s="335">
        <v>956.07</v>
      </c>
      <c r="AX10" s="335">
        <v>963.57</v>
      </c>
      <c r="AY10" s="335">
        <v>810.96</v>
      </c>
      <c r="AZ10" s="335">
        <v>827.54</v>
      </c>
      <c r="BA10" s="335">
        <v>103.34</v>
      </c>
      <c r="BB10" s="335">
        <v>101.21</v>
      </c>
      <c r="BC10" s="335">
        <v>201.66</v>
      </c>
      <c r="BD10" s="335">
        <v>42.76</v>
      </c>
      <c r="BE10" s="335">
        <v>43.67</v>
      </c>
      <c r="BF10" s="335">
        <v>42.34</v>
      </c>
      <c r="BG10" s="335">
        <v>42.61</v>
      </c>
      <c r="BH10" s="335">
        <v>30.26</v>
      </c>
      <c r="BI10" s="335">
        <v>76.89</v>
      </c>
      <c r="BJ10" s="335">
        <v>76.8</v>
      </c>
      <c r="BK10" s="335">
        <v>90.99</v>
      </c>
      <c r="BL10" s="335">
        <v>86.99</v>
      </c>
      <c r="BM10" s="335">
        <v>79.819999999999993</v>
      </c>
      <c r="BN10" s="335">
        <v>79.150000000000006</v>
      </c>
      <c r="BO10" s="335">
        <v>85.66</v>
      </c>
      <c r="BP10" s="335">
        <v>88.22</v>
      </c>
      <c r="BQ10" s="335">
        <v>73.09</v>
      </c>
      <c r="BR10" s="335">
        <v>75.64</v>
      </c>
      <c r="BS10" s="335">
        <v>236.19</v>
      </c>
      <c r="BT10" s="335">
        <v>0</v>
      </c>
      <c r="BU10" s="335">
        <v>273.38</v>
      </c>
      <c r="BV10" s="335">
        <v>255.4</v>
      </c>
      <c r="BW10" s="335">
        <v>0</v>
      </c>
      <c r="BX10" s="335">
        <v>32.72</v>
      </c>
      <c r="BY10" s="335">
        <v>31.58</v>
      </c>
      <c r="BZ10" s="335">
        <v>303.42</v>
      </c>
      <c r="CA10" s="335">
        <v>279.45</v>
      </c>
      <c r="CB10" s="335">
        <v>258.12</v>
      </c>
      <c r="CC10" s="335">
        <v>256.83</v>
      </c>
      <c r="CD10" s="335">
        <v>147.16</v>
      </c>
      <c r="CE10" s="335">
        <v>144.80000000000001</v>
      </c>
      <c r="CF10" s="335">
        <v>144.34</v>
      </c>
      <c r="CG10" s="335">
        <v>148.07</v>
      </c>
      <c r="CH10" s="335">
        <v>-78.66</v>
      </c>
      <c r="CI10" s="335">
        <v>-74.34</v>
      </c>
      <c r="CJ10" s="335">
        <v>-256.41000000000003</v>
      </c>
      <c r="CK10" s="335">
        <v>-243.83</v>
      </c>
      <c r="CL10" s="335">
        <v>32.96</v>
      </c>
      <c r="CM10" s="335">
        <v>34.49</v>
      </c>
      <c r="CN10" s="335">
        <v>266.43</v>
      </c>
      <c r="CO10" s="335">
        <v>268.73</v>
      </c>
      <c r="CP10" s="335">
        <v>42.29</v>
      </c>
      <c r="CQ10" s="335">
        <v>39.92</v>
      </c>
      <c r="CR10" s="335">
        <v>41.34</v>
      </c>
      <c r="CS10" s="335">
        <v>41.57</v>
      </c>
      <c r="CT10" s="335">
        <v>38.74</v>
      </c>
      <c r="CU10" s="335">
        <v>271.5</v>
      </c>
      <c r="CV10" s="335">
        <v>406.63</v>
      </c>
      <c r="CW10" s="335">
        <v>691.02</v>
      </c>
      <c r="CX10" s="335">
        <v>536.64</v>
      </c>
      <c r="CY10" s="335">
        <v>149.80000000000001</v>
      </c>
      <c r="CZ10" s="335">
        <v>343.75</v>
      </c>
      <c r="DA10" s="335">
        <v>38</v>
      </c>
      <c r="DB10" s="335">
        <v>540.35</v>
      </c>
      <c r="DC10" s="335">
        <v>539.46</v>
      </c>
      <c r="DD10" s="335">
        <v>35.82</v>
      </c>
      <c r="DE10" s="335">
        <v>0.107</v>
      </c>
      <c r="DF10" s="335">
        <v>207.47</v>
      </c>
      <c r="DG10" s="335">
        <v>172.06</v>
      </c>
      <c r="DH10" s="335">
        <v>343.03</v>
      </c>
      <c r="DI10" s="335">
        <v>38.06</v>
      </c>
      <c r="DJ10" s="335">
        <v>214.06</v>
      </c>
      <c r="DK10" s="335">
        <v>36.19</v>
      </c>
      <c r="DL10" s="335">
        <v>36.26</v>
      </c>
      <c r="DM10" s="335">
        <v>45.32</v>
      </c>
      <c r="DN10" s="335">
        <v>44.97</v>
      </c>
      <c r="DO10" s="335">
        <v>536.64</v>
      </c>
      <c r="DP10" s="335">
        <v>536.23</v>
      </c>
      <c r="DQ10" s="335">
        <v>536.73</v>
      </c>
      <c r="DR10" s="335">
        <v>534.82000000000005</v>
      </c>
      <c r="DS10" s="335">
        <v>148.38999999999999</v>
      </c>
      <c r="DT10" s="335">
        <v>148.08000000000001</v>
      </c>
      <c r="DU10" s="335">
        <v>35.96</v>
      </c>
      <c r="DV10" s="335">
        <v>540.35</v>
      </c>
      <c r="DW10" s="335">
        <v>538.77</v>
      </c>
      <c r="DX10" s="335">
        <v>538.78</v>
      </c>
    </row>
    <row r="11" spans="1:128" x14ac:dyDescent="0.25">
      <c r="A11" s="328" t="s">
        <v>1479</v>
      </c>
      <c r="B11" s="335">
        <v>830.25</v>
      </c>
      <c r="C11" s="335">
        <v>0</v>
      </c>
      <c r="D11" s="335">
        <v>797.5</v>
      </c>
      <c r="E11" s="335">
        <v>24.63</v>
      </c>
      <c r="F11" s="335">
        <v>166.43</v>
      </c>
      <c r="G11" s="335">
        <v>247.16</v>
      </c>
      <c r="H11" s="335">
        <v>30.76</v>
      </c>
      <c r="I11" s="335">
        <v>15.61</v>
      </c>
      <c r="J11" s="335">
        <v>30.48</v>
      </c>
      <c r="K11" s="335">
        <v>17.78</v>
      </c>
      <c r="L11" s="335">
        <v>0</v>
      </c>
      <c r="M11" s="335">
        <v>247.262159</v>
      </c>
      <c r="N11" s="335">
        <v>168.22</v>
      </c>
      <c r="O11" s="335">
        <v>247.5</v>
      </c>
      <c r="P11" s="335">
        <v>247.11</v>
      </c>
      <c r="Q11" s="335">
        <v>169.27</v>
      </c>
      <c r="R11" s="335">
        <v>250.08</v>
      </c>
      <c r="S11" s="335">
        <v>1.24</v>
      </c>
      <c r="T11" s="335">
        <v>1.26</v>
      </c>
      <c r="U11" s="335">
        <v>166.36</v>
      </c>
      <c r="V11" s="335">
        <v>301.95999999999998</v>
      </c>
      <c r="W11" s="335">
        <v>301.88</v>
      </c>
      <c r="X11" s="335">
        <v>404.62747200000001</v>
      </c>
      <c r="Y11" s="335">
        <v>0</v>
      </c>
      <c r="Z11" s="335">
        <v>0</v>
      </c>
      <c r="AA11" s="335">
        <v>404.63</v>
      </c>
      <c r="AB11" s="335">
        <v>408.18</v>
      </c>
      <c r="AC11" s="335">
        <v>354.8</v>
      </c>
      <c r="AD11" s="335">
        <v>338.17</v>
      </c>
      <c r="AE11" s="335">
        <v>-46.16</v>
      </c>
      <c r="AF11" s="335">
        <v>-52</v>
      </c>
      <c r="AG11" s="335">
        <v>-72.61</v>
      </c>
      <c r="AH11" s="335">
        <v>-73.400000000000006</v>
      </c>
      <c r="AI11" s="335">
        <v>163.19</v>
      </c>
      <c r="AJ11" s="335">
        <v>149.69999999999999</v>
      </c>
      <c r="AK11" s="335">
        <v>540.59</v>
      </c>
      <c r="AL11" s="335">
        <v>36.14</v>
      </c>
      <c r="AM11" s="335">
        <v>541.11</v>
      </c>
      <c r="AN11" s="335">
        <v>541.09</v>
      </c>
      <c r="AO11" s="335">
        <v>2.59</v>
      </c>
      <c r="AP11" s="335">
        <v>2.48</v>
      </c>
      <c r="AQ11" s="335">
        <v>0</v>
      </c>
      <c r="AR11" s="335">
        <v>6.01</v>
      </c>
      <c r="AS11" s="335">
        <v>40.18</v>
      </c>
      <c r="AT11" s="335">
        <v>39.380000000000003</v>
      </c>
      <c r="AU11" s="335">
        <v>296.23</v>
      </c>
      <c r="AV11" s="335">
        <v>288.36</v>
      </c>
      <c r="AW11" s="335">
        <v>957.46</v>
      </c>
      <c r="AX11" s="335">
        <v>965.05</v>
      </c>
      <c r="AY11" s="335">
        <v>812.13</v>
      </c>
      <c r="AZ11" s="335">
        <v>828.64</v>
      </c>
      <c r="BA11" s="335">
        <v>103.73</v>
      </c>
      <c r="BB11" s="335">
        <v>101.7</v>
      </c>
      <c r="BC11" s="335">
        <v>201.65</v>
      </c>
      <c r="BD11" s="335">
        <v>42.76</v>
      </c>
      <c r="BE11" s="335">
        <v>43.67</v>
      </c>
      <c r="BF11" s="335">
        <v>42.34</v>
      </c>
      <c r="BG11" s="335">
        <v>42.61</v>
      </c>
      <c r="BH11" s="335">
        <v>30.26</v>
      </c>
      <c r="BI11" s="335">
        <v>77.05</v>
      </c>
      <c r="BJ11" s="335">
        <v>76.91</v>
      </c>
      <c r="BK11" s="335">
        <v>91</v>
      </c>
      <c r="BL11" s="335">
        <v>87.04</v>
      </c>
      <c r="BM11" s="335">
        <v>80.23</v>
      </c>
      <c r="BN11" s="335">
        <v>79.62</v>
      </c>
      <c r="BO11" s="335">
        <v>85.64</v>
      </c>
      <c r="BP11" s="335">
        <v>87.89</v>
      </c>
      <c r="BQ11" s="335">
        <v>73.09</v>
      </c>
      <c r="BR11" s="335">
        <v>75.64</v>
      </c>
      <c r="BS11" s="335">
        <v>236.19</v>
      </c>
      <c r="BT11" s="335">
        <v>0</v>
      </c>
      <c r="BU11" s="335">
        <v>273.38</v>
      </c>
      <c r="BV11" s="335">
        <v>255.4</v>
      </c>
      <c r="BW11" s="335">
        <v>0</v>
      </c>
      <c r="BX11" s="335">
        <v>32.72</v>
      </c>
      <c r="BY11" s="335">
        <v>31.58</v>
      </c>
      <c r="BZ11" s="335">
        <v>303.42</v>
      </c>
      <c r="CA11" s="335">
        <v>279.45</v>
      </c>
      <c r="CB11" s="335">
        <v>258.54000000000002</v>
      </c>
      <c r="CC11" s="335">
        <v>257.44</v>
      </c>
      <c r="CD11" s="335">
        <v>147.66999999999999</v>
      </c>
      <c r="CE11" s="335">
        <v>145.21</v>
      </c>
      <c r="CF11" s="335">
        <v>144.34</v>
      </c>
      <c r="CG11" s="335">
        <v>148.07</v>
      </c>
      <c r="CH11" s="335">
        <v>-79.069999999999993</v>
      </c>
      <c r="CI11" s="335">
        <v>-74.790000000000006</v>
      </c>
      <c r="CJ11" s="335">
        <v>-257.45</v>
      </c>
      <c r="CK11" s="335">
        <v>-244.5</v>
      </c>
      <c r="CL11" s="335">
        <v>32.96</v>
      </c>
      <c r="CM11" s="335">
        <v>34.49</v>
      </c>
      <c r="CN11" s="335">
        <v>267.13</v>
      </c>
      <c r="CO11" s="335">
        <v>269.48</v>
      </c>
      <c r="CP11" s="335">
        <v>42.39</v>
      </c>
      <c r="CQ11" s="335">
        <v>39.9</v>
      </c>
      <c r="CR11" s="335">
        <v>41.29</v>
      </c>
      <c r="CS11" s="335">
        <v>41.42</v>
      </c>
      <c r="CT11" s="335">
        <v>38.659999999999997</v>
      </c>
      <c r="CU11" s="335">
        <v>270.13</v>
      </c>
      <c r="CV11" s="335">
        <v>407.29</v>
      </c>
      <c r="CW11" s="335">
        <v>690.72</v>
      </c>
      <c r="CX11" s="335">
        <v>539.20000000000005</v>
      </c>
      <c r="CY11" s="335">
        <v>148.44999999999999</v>
      </c>
      <c r="CZ11" s="335">
        <v>345.14</v>
      </c>
      <c r="DA11" s="335">
        <v>38</v>
      </c>
      <c r="DB11" s="335">
        <v>539.86</v>
      </c>
      <c r="DC11" s="335">
        <v>539.04</v>
      </c>
      <c r="DD11" s="335">
        <v>35.82</v>
      </c>
      <c r="DE11" s="335">
        <v>0.107</v>
      </c>
      <c r="DF11" s="335">
        <v>207.2</v>
      </c>
      <c r="DG11" s="335">
        <v>170.69</v>
      </c>
      <c r="DH11" s="335">
        <v>343.85</v>
      </c>
      <c r="DI11" s="335">
        <v>38.06</v>
      </c>
      <c r="DJ11" s="335">
        <v>214.06</v>
      </c>
      <c r="DK11" s="335">
        <v>36.19</v>
      </c>
      <c r="DL11" s="335">
        <v>36.26</v>
      </c>
      <c r="DM11" s="335">
        <v>45.32</v>
      </c>
      <c r="DN11" s="335">
        <v>44.97</v>
      </c>
      <c r="DO11" s="335">
        <v>539.20000000000005</v>
      </c>
      <c r="DP11" s="335">
        <v>538.74</v>
      </c>
      <c r="DQ11" s="335">
        <v>539.28</v>
      </c>
      <c r="DR11" s="335">
        <v>537.49</v>
      </c>
      <c r="DS11" s="335">
        <v>147.01</v>
      </c>
      <c r="DT11" s="335">
        <v>146.63</v>
      </c>
      <c r="DU11" s="335">
        <v>35.96</v>
      </c>
      <c r="DV11" s="335">
        <v>539.86</v>
      </c>
      <c r="DW11" s="335">
        <v>538.63</v>
      </c>
      <c r="DX11" s="335">
        <v>538.72</v>
      </c>
    </row>
    <row r="12" spans="1:128" x14ac:dyDescent="0.25">
      <c r="A12" s="328" t="s">
        <v>1480</v>
      </c>
      <c r="B12" s="335">
        <v>827.22</v>
      </c>
      <c r="C12" s="335">
        <v>0</v>
      </c>
      <c r="D12" s="335">
        <v>795.87</v>
      </c>
      <c r="E12" s="335">
        <v>24.63</v>
      </c>
      <c r="F12" s="335">
        <v>165.45</v>
      </c>
      <c r="G12" s="335">
        <v>247.16</v>
      </c>
      <c r="H12" s="335">
        <v>32.57</v>
      </c>
      <c r="I12" s="335">
        <v>15.51</v>
      </c>
      <c r="J12" s="335">
        <v>31.65</v>
      </c>
      <c r="K12" s="335">
        <v>17.920000000000002</v>
      </c>
      <c r="L12" s="335">
        <v>0</v>
      </c>
      <c r="M12" s="335">
        <v>247.029404</v>
      </c>
      <c r="N12" s="335">
        <v>167.26</v>
      </c>
      <c r="O12" s="335">
        <v>247.24</v>
      </c>
      <c r="P12" s="335">
        <v>246.84</v>
      </c>
      <c r="Q12" s="335">
        <v>168.27</v>
      </c>
      <c r="R12" s="335">
        <v>250.08</v>
      </c>
      <c r="S12" s="335">
        <v>1.24</v>
      </c>
      <c r="T12" s="335">
        <v>1.26</v>
      </c>
      <c r="U12" s="335">
        <v>165.44</v>
      </c>
      <c r="V12" s="335">
        <v>302.2</v>
      </c>
      <c r="W12" s="335">
        <v>302.10000000000002</v>
      </c>
      <c r="X12" s="335">
        <v>405.14764400000001</v>
      </c>
      <c r="Y12" s="335">
        <v>0</v>
      </c>
      <c r="Z12" s="335">
        <v>0</v>
      </c>
      <c r="AA12" s="335">
        <v>404.73</v>
      </c>
      <c r="AB12" s="335">
        <v>408.18</v>
      </c>
      <c r="AC12" s="335">
        <v>354.8</v>
      </c>
      <c r="AD12" s="335">
        <v>338.17</v>
      </c>
      <c r="AE12" s="335">
        <v>-45.95</v>
      </c>
      <c r="AF12" s="335">
        <v>-54.08</v>
      </c>
      <c r="AG12" s="335">
        <v>-72.47</v>
      </c>
      <c r="AH12" s="335">
        <v>-73.56</v>
      </c>
      <c r="AI12" s="335">
        <v>162.27000000000001</v>
      </c>
      <c r="AJ12" s="335">
        <v>148.82</v>
      </c>
      <c r="AK12" s="335">
        <v>541.59</v>
      </c>
      <c r="AL12" s="335">
        <v>36.14</v>
      </c>
      <c r="AM12" s="335">
        <v>541.84</v>
      </c>
      <c r="AN12" s="335">
        <v>541.85</v>
      </c>
      <c r="AO12" s="335">
        <v>2.65</v>
      </c>
      <c r="AP12" s="335">
        <v>2.52</v>
      </c>
      <c r="AQ12" s="335">
        <v>0</v>
      </c>
      <c r="AR12" s="335">
        <v>6.01</v>
      </c>
      <c r="AS12" s="335">
        <v>40.18</v>
      </c>
      <c r="AT12" s="335">
        <v>39.380000000000003</v>
      </c>
      <c r="AU12" s="335">
        <v>296.23</v>
      </c>
      <c r="AV12" s="335">
        <v>288.36</v>
      </c>
      <c r="AW12" s="335">
        <v>956.82</v>
      </c>
      <c r="AX12" s="335">
        <v>964.15</v>
      </c>
      <c r="AY12" s="335">
        <v>811.53</v>
      </c>
      <c r="AZ12" s="335">
        <v>828.14</v>
      </c>
      <c r="BA12" s="335">
        <v>103.86</v>
      </c>
      <c r="BB12" s="335">
        <v>101.72</v>
      </c>
      <c r="BC12" s="335">
        <v>201.6</v>
      </c>
      <c r="BD12" s="335">
        <v>42.76</v>
      </c>
      <c r="BE12" s="335">
        <v>43.67</v>
      </c>
      <c r="BF12" s="335">
        <v>42.34</v>
      </c>
      <c r="BG12" s="335">
        <v>42.61</v>
      </c>
      <c r="BH12" s="335">
        <v>30.26</v>
      </c>
      <c r="BI12" s="335">
        <v>77.06</v>
      </c>
      <c r="BJ12" s="335">
        <v>76.95</v>
      </c>
      <c r="BK12" s="335">
        <v>91.31</v>
      </c>
      <c r="BL12" s="335">
        <v>87.29</v>
      </c>
      <c r="BM12" s="335">
        <v>79.819999999999993</v>
      </c>
      <c r="BN12" s="335">
        <v>79.25</v>
      </c>
      <c r="BO12" s="335">
        <v>85.64</v>
      </c>
      <c r="BP12" s="335">
        <v>88.14</v>
      </c>
      <c r="BQ12" s="335">
        <v>72.930000000000007</v>
      </c>
      <c r="BR12" s="335">
        <v>75.64</v>
      </c>
      <c r="BS12" s="335">
        <v>236.19</v>
      </c>
      <c r="BT12" s="335">
        <v>0</v>
      </c>
      <c r="BU12" s="335">
        <v>273.38</v>
      </c>
      <c r="BV12" s="335">
        <v>255.4</v>
      </c>
      <c r="BW12" s="335">
        <v>0</v>
      </c>
      <c r="BX12" s="335">
        <v>32.72</v>
      </c>
      <c r="BY12" s="335">
        <v>31.58</v>
      </c>
      <c r="BZ12" s="335">
        <v>303.42</v>
      </c>
      <c r="CA12" s="335">
        <v>279.45</v>
      </c>
      <c r="CB12" s="335">
        <v>258.67</v>
      </c>
      <c r="CC12" s="335">
        <v>257.45</v>
      </c>
      <c r="CD12" s="335">
        <v>147.94</v>
      </c>
      <c r="CE12" s="335">
        <v>145.47999999999999</v>
      </c>
      <c r="CF12" s="335">
        <v>144.34</v>
      </c>
      <c r="CG12" s="335">
        <v>148.07</v>
      </c>
      <c r="CH12" s="335">
        <v>-79.38</v>
      </c>
      <c r="CI12" s="335">
        <v>-74.540000000000006</v>
      </c>
      <c r="CJ12" s="335">
        <v>-256.73</v>
      </c>
      <c r="CK12" s="335">
        <v>-243.99</v>
      </c>
      <c r="CL12" s="335">
        <v>32.96</v>
      </c>
      <c r="CM12" s="335">
        <v>34.49</v>
      </c>
      <c r="CN12" s="335">
        <v>267.27999999999997</v>
      </c>
      <c r="CO12" s="335">
        <v>269.54000000000002</v>
      </c>
      <c r="CP12" s="335">
        <v>42.4</v>
      </c>
      <c r="CQ12" s="335">
        <v>39.82</v>
      </c>
      <c r="CR12" s="335">
        <v>41.32</v>
      </c>
      <c r="CS12" s="335">
        <v>41.44</v>
      </c>
      <c r="CT12" s="335">
        <v>38.58</v>
      </c>
      <c r="CU12" s="335">
        <v>269.61</v>
      </c>
      <c r="CV12" s="335">
        <v>407.17</v>
      </c>
      <c r="CW12" s="335">
        <v>690.84</v>
      </c>
      <c r="CX12" s="335">
        <v>540.33000000000004</v>
      </c>
      <c r="CY12" s="335">
        <v>147.44</v>
      </c>
      <c r="CZ12" s="335">
        <v>346.39</v>
      </c>
      <c r="DA12" s="335">
        <v>38</v>
      </c>
      <c r="DB12" s="335">
        <v>540.38</v>
      </c>
      <c r="DC12" s="335">
        <v>539.58000000000004</v>
      </c>
      <c r="DD12" s="335">
        <v>35.82</v>
      </c>
      <c r="DE12" s="335">
        <v>0.107</v>
      </c>
      <c r="DF12" s="335">
        <v>206.96</v>
      </c>
      <c r="DG12" s="335">
        <v>169.67</v>
      </c>
      <c r="DH12" s="335">
        <v>345.34</v>
      </c>
      <c r="DI12" s="335">
        <v>38.06</v>
      </c>
      <c r="DJ12" s="335">
        <v>213.82</v>
      </c>
      <c r="DK12" s="335">
        <v>36.19</v>
      </c>
      <c r="DL12" s="335">
        <v>36.26</v>
      </c>
      <c r="DM12" s="335">
        <v>45.32</v>
      </c>
      <c r="DN12" s="335">
        <v>44.97</v>
      </c>
      <c r="DO12" s="335">
        <v>540.33000000000004</v>
      </c>
      <c r="DP12" s="335">
        <v>539.77</v>
      </c>
      <c r="DQ12" s="335">
        <v>540.05999999999995</v>
      </c>
      <c r="DR12" s="335">
        <v>538.41</v>
      </c>
      <c r="DS12" s="335">
        <v>146</v>
      </c>
      <c r="DT12" s="335">
        <v>145.65</v>
      </c>
      <c r="DU12" s="335">
        <v>35.96</v>
      </c>
      <c r="DV12" s="335">
        <v>540.48</v>
      </c>
      <c r="DW12" s="335">
        <v>539.29999999999995</v>
      </c>
      <c r="DX12" s="335">
        <v>539.37</v>
      </c>
    </row>
    <row r="13" spans="1:128" x14ac:dyDescent="0.25">
      <c r="A13" s="328" t="s">
        <v>1481</v>
      </c>
      <c r="B13" s="335">
        <v>826.38</v>
      </c>
      <c r="C13" s="335">
        <v>0</v>
      </c>
      <c r="D13" s="335">
        <v>795.37</v>
      </c>
      <c r="E13" s="335">
        <v>24.63</v>
      </c>
      <c r="F13" s="335">
        <v>165.11</v>
      </c>
      <c r="G13" s="335">
        <v>247.16</v>
      </c>
      <c r="H13" s="335">
        <v>35.880000000000003</v>
      </c>
      <c r="I13" s="335">
        <v>15.39</v>
      </c>
      <c r="J13" s="335">
        <v>33.14</v>
      </c>
      <c r="K13" s="335">
        <v>17.920000000000002</v>
      </c>
      <c r="L13" s="335">
        <v>0</v>
      </c>
      <c r="M13" s="335">
        <v>247.029404</v>
      </c>
      <c r="N13" s="335">
        <v>166.82</v>
      </c>
      <c r="O13" s="335">
        <v>247.24</v>
      </c>
      <c r="P13" s="335">
        <v>246.84</v>
      </c>
      <c r="Q13" s="335">
        <v>167.9</v>
      </c>
      <c r="R13" s="335">
        <v>250.08</v>
      </c>
      <c r="S13" s="335">
        <v>1.24</v>
      </c>
      <c r="T13" s="335">
        <v>1.26</v>
      </c>
      <c r="U13" s="335">
        <v>165.05</v>
      </c>
      <c r="V13" s="335">
        <v>302.49</v>
      </c>
      <c r="W13" s="335">
        <v>302.35000000000002</v>
      </c>
      <c r="X13" s="335">
        <v>405.14764400000001</v>
      </c>
      <c r="Y13" s="335">
        <v>0</v>
      </c>
      <c r="Z13" s="335">
        <v>0</v>
      </c>
      <c r="AA13" s="335">
        <v>405.15</v>
      </c>
      <c r="AB13" s="335">
        <v>408.18</v>
      </c>
      <c r="AC13" s="335">
        <v>354.81</v>
      </c>
      <c r="AD13" s="335">
        <v>338.17</v>
      </c>
      <c r="AE13" s="335">
        <v>-45.67</v>
      </c>
      <c r="AF13" s="335">
        <v>-54.96</v>
      </c>
      <c r="AG13" s="335">
        <v>-72.37</v>
      </c>
      <c r="AH13" s="335">
        <v>-73.72</v>
      </c>
      <c r="AI13" s="335">
        <v>161.88999999999999</v>
      </c>
      <c r="AJ13" s="335">
        <v>148.62</v>
      </c>
      <c r="AK13" s="335">
        <v>540.87</v>
      </c>
      <c r="AL13" s="335">
        <v>36.14</v>
      </c>
      <c r="AM13" s="335">
        <v>542.62</v>
      </c>
      <c r="AN13" s="335">
        <v>542.70000000000005</v>
      </c>
      <c r="AO13" s="335">
        <v>2.61</v>
      </c>
      <c r="AP13" s="335">
        <v>2.4500000000000002</v>
      </c>
      <c r="AQ13" s="335">
        <v>0</v>
      </c>
      <c r="AR13" s="335">
        <v>6.01</v>
      </c>
      <c r="AS13" s="335">
        <v>40.18</v>
      </c>
      <c r="AT13" s="335">
        <v>39.380000000000003</v>
      </c>
      <c r="AU13" s="335">
        <v>296.23</v>
      </c>
      <c r="AV13" s="335">
        <v>288.36</v>
      </c>
      <c r="AW13" s="335">
        <v>958.65</v>
      </c>
      <c r="AX13" s="335">
        <v>965.95</v>
      </c>
      <c r="AY13" s="335">
        <v>813.33</v>
      </c>
      <c r="AZ13" s="335">
        <v>829.77</v>
      </c>
      <c r="BA13" s="335">
        <v>104.01</v>
      </c>
      <c r="BB13" s="335">
        <v>101.98</v>
      </c>
      <c r="BC13" s="335">
        <v>201.69</v>
      </c>
      <c r="BD13" s="335">
        <v>42.76</v>
      </c>
      <c r="BE13" s="335">
        <v>43.67</v>
      </c>
      <c r="BF13" s="335">
        <v>42.34</v>
      </c>
      <c r="BG13" s="335">
        <v>42.61</v>
      </c>
      <c r="BH13" s="335">
        <v>30.19</v>
      </c>
      <c r="BI13" s="335">
        <v>76.930000000000007</v>
      </c>
      <c r="BJ13" s="335">
        <v>76.819999999999993</v>
      </c>
      <c r="BK13" s="335">
        <v>91.19</v>
      </c>
      <c r="BL13" s="335">
        <v>87.16</v>
      </c>
      <c r="BM13" s="335">
        <v>79.849999999999994</v>
      </c>
      <c r="BN13" s="335">
        <v>79.37</v>
      </c>
      <c r="BO13" s="335">
        <v>85.8</v>
      </c>
      <c r="BP13" s="335">
        <v>88.28</v>
      </c>
      <c r="BQ13" s="335">
        <v>72.97</v>
      </c>
      <c r="BR13" s="335">
        <v>75.64</v>
      </c>
      <c r="BS13" s="335">
        <v>236.19</v>
      </c>
      <c r="BT13" s="335">
        <v>0</v>
      </c>
      <c r="BU13" s="335">
        <v>273.38</v>
      </c>
      <c r="BV13" s="335">
        <v>255.4</v>
      </c>
      <c r="BW13" s="335">
        <v>0</v>
      </c>
      <c r="BX13" s="335">
        <v>32.72</v>
      </c>
      <c r="BY13" s="335">
        <v>31.58</v>
      </c>
      <c r="BZ13" s="335">
        <v>303.42</v>
      </c>
      <c r="CA13" s="335">
        <v>279.45</v>
      </c>
      <c r="CB13" s="335">
        <v>259.38</v>
      </c>
      <c r="CC13" s="335">
        <v>258.10000000000002</v>
      </c>
      <c r="CD13" s="335">
        <v>148.34</v>
      </c>
      <c r="CE13" s="335">
        <v>145.88</v>
      </c>
      <c r="CF13" s="335">
        <v>144.34</v>
      </c>
      <c r="CG13" s="335">
        <v>148.07</v>
      </c>
      <c r="CH13" s="335">
        <v>-79.47</v>
      </c>
      <c r="CI13" s="335">
        <v>-74.38</v>
      </c>
      <c r="CJ13" s="335">
        <v>-257.10000000000002</v>
      </c>
      <c r="CK13" s="335">
        <v>-244.29</v>
      </c>
      <c r="CL13" s="335">
        <v>32.96</v>
      </c>
      <c r="CM13" s="335">
        <v>34.49</v>
      </c>
      <c r="CN13" s="335">
        <v>268.11</v>
      </c>
      <c r="CO13" s="335">
        <v>270.16000000000003</v>
      </c>
      <c r="CP13" s="335">
        <v>42.61</v>
      </c>
      <c r="CQ13" s="335">
        <v>39.76</v>
      </c>
      <c r="CR13" s="335">
        <v>41.29</v>
      </c>
      <c r="CS13" s="335">
        <v>41.51</v>
      </c>
      <c r="CT13" s="335">
        <v>38.51</v>
      </c>
      <c r="CU13" s="335">
        <v>269.57</v>
      </c>
      <c r="CV13" s="335">
        <v>407.25</v>
      </c>
      <c r="CW13" s="335">
        <v>691.52</v>
      </c>
      <c r="CX13" s="335">
        <v>539.69000000000005</v>
      </c>
      <c r="CY13" s="335">
        <v>147.34</v>
      </c>
      <c r="CZ13" s="335">
        <v>346.39</v>
      </c>
      <c r="DA13" s="335">
        <v>38</v>
      </c>
      <c r="DB13" s="335">
        <v>540.96</v>
      </c>
      <c r="DC13" s="335">
        <v>540.22</v>
      </c>
      <c r="DD13" s="335">
        <v>35.82</v>
      </c>
      <c r="DE13" s="335">
        <v>0.107</v>
      </c>
      <c r="DF13" s="335">
        <v>206.96</v>
      </c>
      <c r="DG13" s="335">
        <v>169.31</v>
      </c>
      <c r="DH13" s="335">
        <v>345.41</v>
      </c>
      <c r="DI13" s="335">
        <v>38.06</v>
      </c>
      <c r="DJ13" s="335">
        <v>213.55</v>
      </c>
      <c r="DK13" s="335">
        <v>36.19</v>
      </c>
      <c r="DL13" s="335">
        <v>36.26</v>
      </c>
      <c r="DM13" s="335">
        <v>45.32</v>
      </c>
      <c r="DN13" s="335">
        <v>44.97</v>
      </c>
      <c r="DO13" s="335">
        <v>539.69000000000005</v>
      </c>
      <c r="DP13" s="335">
        <v>539.34</v>
      </c>
      <c r="DQ13" s="335">
        <v>539.91999999999996</v>
      </c>
      <c r="DR13" s="335">
        <v>537.86</v>
      </c>
      <c r="DS13" s="335">
        <v>145.9</v>
      </c>
      <c r="DT13" s="335">
        <v>145.52000000000001</v>
      </c>
      <c r="DU13" s="335">
        <v>35.96</v>
      </c>
      <c r="DV13" s="335">
        <v>541.03</v>
      </c>
      <c r="DW13" s="335">
        <v>539.99</v>
      </c>
      <c r="DX13" s="335">
        <v>540.04</v>
      </c>
    </row>
    <row r="14" spans="1:128" x14ac:dyDescent="0.25">
      <c r="A14" s="328" t="s">
        <v>1482</v>
      </c>
      <c r="B14" s="335">
        <v>826.88</v>
      </c>
      <c r="C14" s="335">
        <v>0</v>
      </c>
      <c r="D14" s="335">
        <v>796.18</v>
      </c>
      <c r="E14" s="335">
        <v>24.63</v>
      </c>
      <c r="F14" s="335">
        <v>166.21</v>
      </c>
      <c r="G14" s="335">
        <v>247.16</v>
      </c>
      <c r="H14" s="335">
        <v>35.18</v>
      </c>
      <c r="I14" s="335">
        <v>14.77</v>
      </c>
      <c r="J14" s="335">
        <v>33.619999999999997</v>
      </c>
      <c r="K14" s="335">
        <v>17.920000000000002</v>
      </c>
      <c r="L14" s="335">
        <v>0</v>
      </c>
      <c r="M14" s="335">
        <v>247.029404</v>
      </c>
      <c r="N14" s="335">
        <v>167.85</v>
      </c>
      <c r="O14" s="335">
        <v>247.24</v>
      </c>
      <c r="P14" s="335">
        <v>246.84</v>
      </c>
      <c r="Q14" s="335">
        <v>168.98</v>
      </c>
      <c r="R14" s="335">
        <v>250.08</v>
      </c>
      <c r="S14" s="335">
        <v>1.24</v>
      </c>
      <c r="T14" s="335">
        <v>1.26</v>
      </c>
      <c r="U14" s="335">
        <v>166.08</v>
      </c>
      <c r="V14" s="335">
        <v>302.98</v>
      </c>
      <c r="W14" s="335">
        <v>302.89999999999998</v>
      </c>
      <c r="X14" s="335">
        <v>405.14764400000001</v>
      </c>
      <c r="Y14" s="335">
        <v>0</v>
      </c>
      <c r="Z14" s="335">
        <v>0</v>
      </c>
      <c r="AA14" s="335">
        <v>405.15</v>
      </c>
      <c r="AB14" s="335">
        <v>408.18</v>
      </c>
      <c r="AC14" s="335">
        <v>355.36</v>
      </c>
      <c r="AD14" s="335">
        <v>338.17</v>
      </c>
      <c r="AE14" s="335">
        <v>-46</v>
      </c>
      <c r="AF14" s="335">
        <v>-53.19</v>
      </c>
      <c r="AG14" s="335">
        <v>-72.67</v>
      </c>
      <c r="AH14" s="335">
        <v>-73.81</v>
      </c>
      <c r="AI14" s="335">
        <v>162.94</v>
      </c>
      <c r="AJ14" s="335">
        <v>149.69</v>
      </c>
      <c r="AK14" s="335">
        <v>539.55999999999995</v>
      </c>
      <c r="AL14" s="335">
        <v>36.14</v>
      </c>
      <c r="AM14" s="335">
        <v>542.97</v>
      </c>
      <c r="AN14" s="335">
        <v>542.94000000000005</v>
      </c>
      <c r="AO14" s="335">
        <v>2.65</v>
      </c>
      <c r="AP14" s="335">
        <v>2.52</v>
      </c>
      <c r="AQ14" s="335">
        <v>0</v>
      </c>
      <c r="AR14" s="335">
        <v>6.01</v>
      </c>
      <c r="AS14" s="335">
        <v>40.18</v>
      </c>
      <c r="AT14" s="335">
        <v>39.380000000000003</v>
      </c>
      <c r="AU14" s="335">
        <v>296.23</v>
      </c>
      <c r="AV14" s="335">
        <v>288.89</v>
      </c>
      <c r="AW14" s="335">
        <v>955.69</v>
      </c>
      <c r="AX14" s="335">
        <v>963.02</v>
      </c>
      <c r="AY14" s="335">
        <v>810.72</v>
      </c>
      <c r="AZ14" s="335">
        <v>827.24</v>
      </c>
      <c r="BA14" s="335">
        <v>104.02</v>
      </c>
      <c r="BB14" s="335">
        <v>101.71</v>
      </c>
      <c r="BC14" s="335">
        <v>201.62</v>
      </c>
      <c r="BD14" s="335">
        <v>42.76</v>
      </c>
      <c r="BE14" s="335">
        <v>43.67</v>
      </c>
      <c r="BF14" s="335">
        <v>42.34</v>
      </c>
      <c r="BG14" s="335">
        <v>42.61</v>
      </c>
      <c r="BH14" s="335">
        <v>30.25</v>
      </c>
      <c r="BI14" s="335">
        <v>76.67</v>
      </c>
      <c r="BJ14" s="335">
        <v>76.569999999999993</v>
      </c>
      <c r="BK14" s="335">
        <v>90.88</v>
      </c>
      <c r="BL14" s="335">
        <v>86.86</v>
      </c>
      <c r="BM14" s="335">
        <v>79.8</v>
      </c>
      <c r="BN14" s="335">
        <v>79.349999999999994</v>
      </c>
      <c r="BO14" s="335">
        <v>85.71</v>
      </c>
      <c r="BP14" s="335">
        <v>88.09</v>
      </c>
      <c r="BQ14" s="335">
        <v>73.06</v>
      </c>
      <c r="BR14" s="335">
        <v>75.64</v>
      </c>
      <c r="BS14" s="335">
        <v>236.19</v>
      </c>
      <c r="BT14" s="335">
        <v>0</v>
      </c>
      <c r="BU14" s="335">
        <v>273.38</v>
      </c>
      <c r="BV14" s="335">
        <v>255.4</v>
      </c>
      <c r="BW14" s="335">
        <v>0</v>
      </c>
      <c r="BX14" s="335">
        <v>32.72</v>
      </c>
      <c r="BY14" s="335">
        <v>31.58</v>
      </c>
      <c r="BZ14" s="335">
        <v>303.58999999999997</v>
      </c>
      <c r="CA14" s="335">
        <v>279.45</v>
      </c>
      <c r="CB14" s="335">
        <v>258.81</v>
      </c>
      <c r="CC14" s="335">
        <v>257.72000000000003</v>
      </c>
      <c r="CD14" s="335">
        <v>147.88</v>
      </c>
      <c r="CE14" s="335">
        <v>145.46</v>
      </c>
      <c r="CF14" s="335">
        <v>144.34</v>
      </c>
      <c r="CG14" s="335">
        <v>148.07</v>
      </c>
      <c r="CH14" s="335">
        <v>-79.53</v>
      </c>
      <c r="CI14" s="335">
        <v>-74.63</v>
      </c>
      <c r="CJ14" s="335">
        <v>-257.10000000000002</v>
      </c>
      <c r="CK14" s="335">
        <v>-244.28</v>
      </c>
      <c r="CL14" s="335">
        <v>32.96</v>
      </c>
      <c r="CM14" s="335">
        <v>34.29</v>
      </c>
      <c r="CN14" s="335">
        <v>267.14999999999998</v>
      </c>
      <c r="CO14" s="335">
        <v>269.27</v>
      </c>
      <c r="CP14" s="335">
        <v>42.63</v>
      </c>
      <c r="CQ14" s="335">
        <v>39.92</v>
      </c>
      <c r="CR14" s="335">
        <v>41.26</v>
      </c>
      <c r="CS14" s="335">
        <v>41.43</v>
      </c>
      <c r="CT14" s="335">
        <v>38.590000000000003</v>
      </c>
      <c r="CU14" s="335">
        <v>270.11</v>
      </c>
      <c r="CV14" s="335">
        <v>406.42</v>
      </c>
      <c r="CW14" s="335">
        <v>691.98</v>
      </c>
      <c r="CX14" s="335">
        <v>538.59</v>
      </c>
      <c r="CY14" s="335">
        <v>148.25</v>
      </c>
      <c r="CZ14" s="335">
        <v>345.59</v>
      </c>
      <c r="DA14" s="335">
        <v>38</v>
      </c>
      <c r="DB14" s="335">
        <v>541.62</v>
      </c>
      <c r="DC14" s="335">
        <v>540.78</v>
      </c>
      <c r="DD14" s="335">
        <v>35.82</v>
      </c>
      <c r="DE14" s="335">
        <v>0.107</v>
      </c>
      <c r="DF14" s="335">
        <v>206.96</v>
      </c>
      <c r="DG14" s="335">
        <v>170.38</v>
      </c>
      <c r="DH14" s="335">
        <v>344.9</v>
      </c>
      <c r="DI14" s="335">
        <v>38.06</v>
      </c>
      <c r="DJ14" s="335">
        <v>213.75</v>
      </c>
      <c r="DK14" s="335">
        <v>36.19</v>
      </c>
      <c r="DL14" s="335">
        <v>36.26</v>
      </c>
      <c r="DM14" s="335">
        <v>45.32</v>
      </c>
      <c r="DN14" s="335">
        <v>44.97</v>
      </c>
      <c r="DO14" s="335">
        <v>538.59</v>
      </c>
      <c r="DP14" s="335">
        <v>538.13</v>
      </c>
      <c r="DQ14" s="335">
        <v>538.79999999999995</v>
      </c>
      <c r="DR14" s="335">
        <v>536.66</v>
      </c>
      <c r="DS14" s="335">
        <v>146.97999999999999</v>
      </c>
      <c r="DT14" s="335">
        <v>146.6</v>
      </c>
      <c r="DU14" s="335">
        <v>35.96</v>
      </c>
      <c r="DV14" s="335">
        <v>541.64</v>
      </c>
      <c r="DW14" s="335">
        <v>540.30999999999995</v>
      </c>
      <c r="DX14" s="335">
        <v>540.39</v>
      </c>
    </row>
    <row r="15" spans="1:128" x14ac:dyDescent="0.25">
      <c r="A15" s="328" t="s">
        <v>1483</v>
      </c>
      <c r="B15" s="335">
        <v>829.69</v>
      </c>
      <c r="C15" s="335">
        <v>0</v>
      </c>
      <c r="D15" s="335">
        <v>795.43</v>
      </c>
      <c r="E15" s="335">
        <v>24.63</v>
      </c>
      <c r="F15" s="335">
        <v>166.13</v>
      </c>
      <c r="G15" s="335">
        <v>247.16</v>
      </c>
      <c r="H15" s="335">
        <v>33.78</v>
      </c>
      <c r="I15" s="335">
        <v>14.99</v>
      </c>
      <c r="J15" s="335">
        <v>31.71</v>
      </c>
      <c r="K15" s="335">
        <v>17.920000000000002</v>
      </c>
      <c r="L15" s="335">
        <v>0</v>
      </c>
      <c r="M15" s="335">
        <v>247.029404</v>
      </c>
      <c r="N15" s="335">
        <v>167.79</v>
      </c>
      <c r="O15" s="335">
        <v>247.24</v>
      </c>
      <c r="P15" s="335">
        <v>246.84</v>
      </c>
      <c r="Q15" s="335">
        <v>168.94</v>
      </c>
      <c r="R15" s="335">
        <v>250.08</v>
      </c>
      <c r="S15" s="335">
        <v>1.24</v>
      </c>
      <c r="T15" s="335">
        <v>1.26</v>
      </c>
      <c r="U15" s="335">
        <v>166.04</v>
      </c>
      <c r="V15" s="335">
        <v>302.73</v>
      </c>
      <c r="W15" s="335">
        <v>302.7</v>
      </c>
      <c r="X15" s="335">
        <v>405.14764400000001</v>
      </c>
      <c r="Y15" s="335">
        <v>0</v>
      </c>
      <c r="Z15" s="335">
        <v>0</v>
      </c>
      <c r="AA15" s="335">
        <v>405.15</v>
      </c>
      <c r="AB15" s="335">
        <v>408.18</v>
      </c>
      <c r="AC15" s="335">
        <v>355.36</v>
      </c>
      <c r="AD15" s="335">
        <v>338.17</v>
      </c>
      <c r="AE15" s="335">
        <v>-45.84</v>
      </c>
      <c r="AF15" s="335">
        <v>-52.01</v>
      </c>
      <c r="AG15" s="335">
        <v>-72.38</v>
      </c>
      <c r="AH15" s="335">
        <v>-73.400000000000006</v>
      </c>
      <c r="AI15" s="335">
        <v>162.88999999999999</v>
      </c>
      <c r="AJ15" s="335">
        <v>149.5</v>
      </c>
      <c r="AK15" s="335">
        <v>539.33000000000004</v>
      </c>
      <c r="AL15" s="335">
        <v>36.14</v>
      </c>
      <c r="AM15" s="335">
        <v>541.75</v>
      </c>
      <c r="AN15" s="335">
        <v>541.78</v>
      </c>
      <c r="AO15" s="335">
        <v>2.64</v>
      </c>
      <c r="AP15" s="335">
        <v>2.5099999999999998</v>
      </c>
      <c r="AQ15" s="335">
        <v>0</v>
      </c>
      <c r="AR15" s="335">
        <v>6.01</v>
      </c>
      <c r="AS15" s="335">
        <v>40.18</v>
      </c>
      <c r="AT15" s="335">
        <v>39.380000000000003</v>
      </c>
      <c r="AU15" s="335">
        <v>296.23</v>
      </c>
      <c r="AV15" s="335">
        <v>288.89</v>
      </c>
      <c r="AW15" s="335">
        <v>956.78</v>
      </c>
      <c r="AX15" s="335">
        <v>963.83</v>
      </c>
      <c r="AY15" s="335">
        <v>811.68</v>
      </c>
      <c r="AZ15" s="335">
        <v>828.29</v>
      </c>
      <c r="BA15" s="335">
        <v>104.24</v>
      </c>
      <c r="BB15" s="335">
        <v>101.75</v>
      </c>
      <c r="BC15" s="335">
        <v>201.61</v>
      </c>
      <c r="BD15" s="335">
        <v>42.76</v>
      </c>
      <c r="BE15" s="335">
        <v>43.67</v>
      </c>
      <c r="BF15" s="335">
        <v>42.34</v>
      </c>
      <c r="BG15" s="335">
        <v>42.61</v>
      </c>
      <c r="BH15" s="335">
        <v>30.25</v>
      </c>
      <c r="BI15" s="335">
        <v>76.86</v>
      </c>
      <c r="BJ15" s="335">
        <v>76.709999999999994</v>
      </c>
      <c r="BK15" s="335">
        <v>90.54</v>
      </c>
      <c r="BL15" s="335">
        <v>86.49</v>
      </c>
      <c r="BM15" s="335">
        <v>79.849999999999994</v>
      </c>
      <c r="BN15" s="335">
        <v>79.27</v>
      </c>
      <c r="BO15" s="335">
        <v>85.66</v>
      </c>
      <c r="BP15" s="335">
        <v>88.12</v>
      </c>
      <c r="BQ15" s="335">
        <v>73.06</v>
      </c>
      <c r="BR15" s="335">
        <v>75.64</v>
      </c>
      <c r="BS15" s="335">
        <v>236.41</v>
      </c>
      <c r="BT15" s="335">
        <v>0</v>
      </c>
      <c r="BU15" s="335">
        <v>273.38</v>
      </c>
      <c r="BV15" s="335">
        <v>255.4</v>
      </c>
      <c r="BW15" s="335">
        <v>0</v>
      </c>
      <c r="BX15" s="335">
        <v>32.72</v>
      </c>
      <c r="BY15" s="335">
        <v>31.58</v>
      </c>
      <c r="BZ15" s="335">
        <v>303.95</v>
      </c>
      <c r="CA15" s="335">
        <v>279.45</v>
      </c>
      <c r="CB15" s="335">
        <v>259.08</v>
      </c>
      <c r="CC15" s="335">
        <v>257.86</v>
      </c>
      <c r="CD15" s="335">
        <v>148.11000000000001</v>
      </c>
      <c r="CE15" s="335">
        <v>145.78</v>
      </c>
      <c r="CF15" s="335">
        <v>144.72999999999999</v>
      </c>
      <c r="CG15" s="335">
        <v>148.07</v>
      </c>
      <c r="CH15" s="335">
        <v>-79.09</v>
      </c>
      <c r="CI15" s="335">
        <v>-74.540000000000006</v>
      </c>
      <c r="CJ15" s="335">
        <v>-257.10000000000002</v>
      </c>
      <c r="CK15" s="335">
        <v>-244.34</v>
      </c>
      <c r="CL15" s="335">
        <v>32.96</v>
      </c>
      <c r="CM15" s="335">
        <v>33.97</v>
      </c>
      <c r="CN15" s="335">
        <v>267.41000000000003</v>
      </c>
      <c r="CO15" s="335">
        <v>269.54000000000002</v>
      </c>
      <c r="CP15" s="335">
        <v>42.59</v>
      </c>
      <c r="CQ15" s="335">
        <v>39.83</v>
      </c>
      <c r="CR15" s="335">
        <v>41.32</v>
      </c>
      <c r="CS15" s="335">
        <v>41.43</v>
      </c>
      <c r="CT15" s="335">
        <v>38.67</v>
      </c>
      <c r="CU15" s="335">
        <v>269.83</v>
      </c>
      <c r="CV15" s="335">
        <v>406.23</v>
      </c>
      <c r="CW15" s="335">
        <v>692.35</v>
      </c>
      <c r="CX15" s="335">
        <v>538.23</v>
      </c>
      <c r="CY15" s="335">
        <v>147.94999999999999</v>
      </c>
      <c r="CZ15" s="335">
        <v>344.92</v>
      </c>
      <c r="DA15" s="335">
        <v>38</v>
      </c>
      <c r="DB15" s="335">
        <v>540.89</v>
      </c>
      <c r="DC15" s="335">
        <v>539.92999999999995</v>
      </c>
      <c r="DD15" s="335">
        <v>35.82</v>
      </c>
      <c r="DE15" s="335">
        <v>0.107</v>
      </c>
      <c r="DF15" s="335">
        <v>206.96</v>
      </c>
      <c r="DG15" s="335">
        <v>170.35</v>
      </c>
      <c r="DH15" s="335">
        <v>344.32</v>
      </c>
      <c r="DI15" s="335">
        <v>38.06</v>
      </c>
      <c r="DJ15" s="335">
        <v>214.1</v>
      </c>
      <c r="DK15" s="335">
        <v>36.19</v>
      </c>
      <c r="DL15" s="335">
        <v>36.26</v>
      </c>
      <c r="DM15" s="335">
        <v>45.32</v>
      </c>
      <c r="DN15" s="335">
        <v>44.97</v>
      </c>
      <c r="DO15" s="335">
        <v>538.23</v>
      </c>
      <c r="DP15" s="335">
        <v>537.74</v>
      </c>
      <c r="DQ15" s="335">
        <v>538.27</v>
      </c>
      <c r="DR15" s="335">
        <v>536.44000000000005</v>
      </c>
      <c r="DS15" s="335">
        <v>146.61000000000001</v>
      </c>
      <c r="DT15" s="335">
        <v>146.26</v>
      </c>
      <c r="DU15" s="335">
        <v>35.96</v>
      </c>
      <c r="DV15" s="335">
        <v>540.97</v>
      </c>
      <c r="DW15" s="335">
        <v>539.48</v>
      </c>
      <c r="DX15" s="335">
        <v>539.51</v>
      </c>
    </row>
    <row r="16" spans="1:128" x14ac:dyDescent="0.25">
      <c r="A16" s="328" t="s">
        <v>1484</v>
      </c>
      <c r="B16" s="335">
        <v>827.43</v>
      </c>
      <c r="C16" s="335">
        <v>0</v>
      </c>
      <c r="D16" s="335">
        <v>794.66</v>
      </c>
      <c r="E16" s="335">
        <v>24.63</v>
      </c>
      <c r="F16" s="335">
        <v>165.98</v>
      </c>
      <c r="G16" s="335">
        <v>247.16</v>
      </c>
      <c r="H16" s="335">
        <v>34.75</v>
      </c>
      <c r="I16" s="335">
        <v>15.85</v>
      </c>
      <c r="J16" s="335">
        <v>33.299999999999997</v>
      </c>
      <c r="K16" s="335">
        <v>17.920000000000002</v>
      </c>
      <c r="L16" s="335">
        <v>0</v>
      </c>
      <c r="M16" s="335">
        <v>247.029404</v>
      </c>
      <c r="N16" s="335">
        <v>167.62</v>
      </c>
      <c r="O16" s="335">
        <v>247.24</v>
      </c>
      <c r="P16" s="335">
        <v>246.84</v>
      </c>
      <c r="Q16" s="335">
        <v>168.77</v>
      </c>
      <c r="R16" s="335">
        <v>250.08</v>
      </c>
      <c r="S16" s="335">
        <v>1.24</v>
      </c>
      <c r="T16" s="335">
        <v>1.26</v>
      </c>
      <c r="U16" s="335">
        <v>165.89</v>
      </c>
      <c r="V16" s="335">
        <v>302.44</v>
      </c>
      <c r="W16" s="335">
        <v>302.39999999999998</v>
      </c>
      <c r="X16" s="335">
        <v>405.14764400000001</v>
      </c>
      <c r="Y16" s="335">
        <v>0</v>
      </c>
      <c r="Z16" s="335">
        <v>0</v>
      </c>
      <c r="AA16" s="335">
        <v>405.15</v>
      </c>
      <c r="AB16" s="335">
        <v>408.4</v>
      </c>
      <c r="AC16" s="335">
        <v>355.36</v>
      </c>
      <c r="AD16" s="335">
        <v>338.17</v>
      </c>
      <c r="AE16" s="335">
        <v>-45.78</v>
      </c>
      <c r="AF16" s="335">
        <v>-53.39</v>
      </c>
      <c r="AG16" s="335">
        <v>-72.540000000000006</v>
      </c>
      <c r="AH16" s="335">
        <v>-73.62</v>
      </c>
      <c r="AI16" s="335">
        <v>162.75</v>
      </c>
      <c r="AJ16" s="335">
        <v>149.35</v>
      </c>
      <c r="AK16" s="335">
        <v>540.67999999999995</v>
      </c>
      <c r="AL16" s="335">
        <v>36.14</v>
      </c>
      <c r="AM16" s="335">
        <v>542.98</v>
      </c>
      <c r="AN16" s="335">
        <v>542.91</v>
      </c>
      <c r="AO16" s="335">
        <v>2.67</v>
      </c>
      <c r="AP16" s="335">
        <v>2.5499999999999998</v>
      </c>
      <c r="AQ16" s="335">
        <v>0</v>
      </c>
      <c r="AR16" s="335">
        <v>6.01</v>
      </c>
      <c r="AS16" s="335">
        <v>40.18</v>
      </c>
      <c r="AT16" s="335">
        <v>39.08</v>
      </c>
      <c r="AU16" s="335">
        <v>296.29000000000002</v>
      </c>
      <c r="AV16" s="335">
        <v>288.89</v>
      </c>
      <c r="AW16" s="335">
        <v>956.76</v>
      </c>
      <c r="AX16" s="335">
        <v>963.99</v>
      </c>
      <c r="AY16" s="335">
        <v>811.7</v>
      </c>
      <c r="AZ16" s="335">
        <v>828.22</v>
      </c>
      <c r="BA16" s="335">
        <v>104.31</v>
      </c>
      <c r="BB16" s="335">
        <v>101.9</v>
      </c>
      <c r="BC16" s="335">
        <v>201.6</v>
      </c>
      <c r="BD16" s="335">
        <v>42.76</v>
      </c>
      <c r="BE16" s="335">
        <v>43.67</v>
      </c>
      <c r="BF16" s="335">
        <v>42.34</v>
      </c>
      <c r="BG16" s="335">
        <v>42.61</v>
      </c>
      <c r="BH16" s="335">
        <v>30.25</v>
      </c>
      <c r="BI16" s="335">
        <v>77.09</v>
      </c>
      <c r="BJ16" s="335">
        <v>76.97</v>
      </c>
      <c r="BK16" s="335">
        <v>90.37</v>
      </c>
      <c r="BL16" s="335">
        <v>86.36</v>
      </c>
      <c r="BM16" s="335">
        <v>79.7</v>
      </c>
      <c r="BN16" s="335">
        <v>79.27</v>
      </c>
      <c r="BO16" s="335">
        <v>85.78</v>
      </c>
      <c r="BP16" s="335">
        <v>88.11</v>
      </c>
      <c r="BQ16" s="335">
        <v>73.06</v>
      </c>
      <c r="BR16" s="335">
        <v>75.64</v>
      </c>
      <c r="BS16" s="335">
        <v>236.19</v>
      </c>
      <c r="BT16" s="335">
        <v>0</v>
      </c>
      <c r="BU16" s="335">
        <v>273.38</v>
      </c>
      <c r="BV16" s="335">
        <v>255.4</v>
      </c>
      <c r="BW16" s="335">
        <v>0</v>
      </c>
      <c r="BX16" s="335">
        <v>32.72</v>
      </c>
      <c r="BY16" s="335">
        <v>31.58</v>
      </c>
      <c r="BZ16" s="335">
        <v>303.95</v>
      </c>
      <c r="CA16" s="335">
        <v>279.87</v>
      </c>
      <c r="CB16" s="335">
        <v>259.3</v>
      </c>
      <c r="CC16" s="335">
        <v>257.98</v>
      </c>
      <c r="CD16" s="335">
        <v>148.24</v>
      </c>
      <c r="CE16" s="335">
        <v>145.84</v>
      </c>
      <c r="CF16" s="335">
        <v>144.84</v>
      </c>
      <c r="CG16" s="335">
        <v>148.07</v>
      </c>
      <c r="CH16" s="335">
        <v>-79.53</v>
      </c>
      <c r="CI16" s="335">
        <v>-74.459999999999994</v>
      </c>
      <c r="CJ16" s="335">
        <v>-257.33999999999997</v>
      </c>
      <c r="CK16" s="335">
        <v>-244.65</v>
      </c>
      <c r="CL16" s="335">
        <v>32.96</v>
      </c>
      <c r="CM16" s="335">
        <v>33.97</v>
      </c>
      <c r="CN16" s="335">
        <v>268.02999999999997</v>
      </c>
      <c r="CO16" s="335">
        <v>269.89999999999998</v>
      </c>
      <c r="CP16" s="335">
        <v>42.59</v>
      </c>
      <c r="CQ16" s="335">
        <v>39.89</v>
      </c>
      <c r="CR16" s="335">
        <v>41.25</v>
      </c>
      <c r="CS16" s="335">
        <v>41.37</v>
      </c>
      <c r="CT16" s="335">
        <v>38.57</v>
      </c>
      <c r="CU16" s="335">
        <v>269.64999999999998</v>
      </c>
      <c r="CV16" s="335">
        <v>406.38</v>
      </c>
      <c r="CW16" s="335">
        <v>693.33</v>
      </c>
      <c r="CX16" s="335">
        <v>539.47</v>
      </c>
      <c r="CY16" s="335">
        <v>147.72</v>
      </c>
      <c r="CZ16" s="335">
        <v>345.76</v>
      </c>
      <c r="DA16" s="335">
        <v>38</v>
      </c>
      <c r="DB16" s="335">
        <v>541.32000000000005</v>
      </c>
      <c r="DC16" s="335">
        <v>540.5</v>
      </c>
      <c r="DD16" s="335">
        <v>35.82</v>
      </c>
      <c r="DE16" s="335">
        <v>0.107</v>
      </c>
      <c r="DF16" s="335">
        <v>206.96</v>
      </c>
      <c r="DG16" s="335">
        <v>170.19</v>
      </c>
      <c r="DH16" s="335">
        <v>344.65</v>
      </c>
      <c r="DI16" s="335">
        <v>38.06</v>
      </c>
      <c r="DJ16" s="335">
        <v>213.88</v>
      </c>
      <c r="DK16" s="335">
        <v>36.19</v>
      </c>
      <c r="DL16" s="335">
        <v>36.26</v>
      </c>
      <c r="DM16" s="335">
        <v>45.32</v>
      </c>
      <c r="DN16" s="335">
        <v>44.97</v>
      </c>
      <c r="DO16" s="335">
        <v>539.47</v>
      </c>
      <c r="DP16" s="335">
        <v>538.98</v>
      </c>
      <c r="DQ16" s="335">
        <v>539.51</v>
      </c>
      <c r="DR16" s="335">
        <v>537.66999999999996</v>
      </c>
      <c r="DS16" s="335">
        <v>146.30000000000001</v>
      </c>
      <c r="DT16" s="335">
        <v>145.93</v>
      </c>
      <c r="DU16" s="335">
        <v>35.96</v>
      </c>
      <c r="DV16" s="335">
        <v>541.30999999999995</v>
      </c>
      <c r="DW16" s="335">
        <v>540.09</v>
      </c>
      <c r="DX16" s="335">
        <v>540.14</v>
      </c>
    </row>
    <row r="17" spans="1:128" x14ac:dyDescent="0.25">
      <c r="A17" s="328" t="s">
        <v>1485</v>
      </c>
      <c r="B17" s="335">
        <v>824.42</v>
      </c>
      <c r="C17" s="335">
        <v>0</v>
      </c>
      <c r="D17" s="335">
        <v>794.29</v>
      </c>
      <c r="E17" s="335">
        <v>24.63</v>
      </c>
      <c r="F17" s="335">
        <v>165.58</v>
      </c>
      <c r="G17" s="335">
        <v>247.16</v>
      </c>
      <c r="H17" s="335">
        <v>34.409999999999997</v>
      </c>
      <c r="I17" s="335">
        <v>14.99</v>
      </c>
      <c r="J17" s="335">
        <v>33.54</v>
      </c>
      <c r="K17" s="335">
        <v>17.920000000000002</v>
      </c>
      <c r="L17" s="335">
        <v>0</v>
      </c>
      <c r="M17" s="335">
        <v>247.029404</v>
      </c>
      <c r="N17" s="335">
        <v>167.62</v>
      </c>
      <c r="O17" s="335">
        <v>247.24</v>
      </c>
      <c r="P17" s="335">
        <v>246.84</v>
      </c>
      <c r="Q17" s="335">
        <v>168.77</v>
      </c>
      <c r="R17" s="335">
        <v>250.08</v>
      </c>
      <c r="S17" s="335">
        <v>1.24</v>
      </c>
      <c r="T17" s="335">
        <v>1.26</v>
      </c>
      <c r="U17" s="335">
        <v>165.89</v>
      </c>
      <c r="V17" s="335">
        <v>302.95999999999998</v>
      </c>
      <c r="W17" s="335">
        <v>302.82</v>
      </c>
      <c r="X17" s="335">
        <v>405.14764400000001</v>
      </c>
      <c r="Y17" s="335">
        <v>0</v>
      </c>
      <c r="Z17" s="335">
        <v>0</v>
      </c>
      <c r="AA17" s="335">
        <v>405.15</v>
      </c>
      <c r="AB17" s="335">
        <v>408.7</v>
      </c>
      <c r="AC17" s="335">
        <v>355.36</v>
      </c>
      <c r="AD17" s="335">
        <v>338.17</v>
      </c>
      <c r="AE17" s="335">
        <v>-45.81</v>
      </c>
      <c r="AF17" s="335">
        <v>-54.91</v>
      </c>
      <c r="AG17" s="335">
        <v>-72.48</v>
      </c>
      <c r="AH17" s="335">
        <v>-73.64</v>
      </c>
      <c r="AI17" s="335">
        <v>162.75</v>
      </c>
      <c r="AJ17" s="335">
        <v>149.35</v>
      </c>
      <c r="AK17" s="335">
        <v>540.11</v>
      </c>
      <c r="AL17" s="335">
        <v>36.14</v>
      </c>
      <c r="AM17" s="335">
        <v>543.27</v>
      </c>
      <c r="AN17" s="335">
        <v>543.28</v>
      </c>
      <c r="AO17" s="335">
        <v>2.69</v>
      </c>
      <c r="AP17" s="335">
        <v>2.57</v>
      </c>
      <c r="AQ17" s="335">
        <v>0</v>
      </c>
      <c r="AR17" s="335">
        <v>6.01</v>
      </c>
      <c r="AS17" s="335">
        <v>40.18</v>
      </c>
      <c r="AT17" s="335">
        <v>38.86</v>
      </c>
      <c r="AU17" s="335">
        <v>296.76</v>
      </c>
      <c r="AV17" s="335">
        <v>289.17</v>
      </c>
      <c r="AW17" s="335">
        <v>956.27</v>
      </c>
      <c r="AX17" s="335">
        <v>963.38</v>
      </c>
      <c r="AY17" s="335">
        <v>811.39</v>
      </c>
      <c r="AZ17" s="335">
        <v>827.75</v>
      </c>
      <c r="BA17" s="335">
        <v>104.19</v>
      </c>
      <c r="BB17" s="335">
        <v>101.93</v>
      </c>
      <c r="BC17" s="335">
        <v>201.6</v>
      </c>
      <c r="BD17" s="335">
        <v>42.76</v>
      </c>
      <c r="BE17" s="335">
        <v>43.67</v>
      </c>
      <c r="BF17" s="335">
        <v>42.34</v>
      </c>
      <c r="BG17" s="335">
        <v>42.61</v>
      </c>
      <c r="BH17" s="335">
        <v>30.25</v>
      </c>
      <c r="BI17" s="335">
        <v>76.72</v>
      </c>
      <c r="BJ17" s="335">
        <v>76.55</v>
      </c>
      <c r="BK17" s="335">
        <v>90.53</v>
      </c>
      <c r="BL17" s="335">
        <v>86.51</v>
      </c>
      <c r="BM17" s="335">
        <v>79.760000000000005</v>
      </c>
      <c r="BN17" s="335">
        <v>79.38</v>
      </c>
      <c r="BO17" s="335">
        <v>85.5</v>
      </c>
      <c r="BP17" s="335">
        <v>88.06</v>
      </c>
      <c r="BQ17" s="335">
        <v>73.06</v>
      </c>
      <c r="BR17" s="335">
        <v>75.64</v>
      </c>
      <c r="BS17" s="335">
        <v>236.19</v>
      </c>
      <c r="BT17" s="335">
        <v>0</v>
      </c>
      <c r="BU17" s="335">
        <v>273.89</v>
      </c>
      <c r="BV17" s="335">
        <v>255.4</v>
      </c>
      <c r="BW17" s="335">
        <v>0</v>
      </c>
      <c r="BX17" s="335">
        <v>32.72</v>
      </c>
      <c r="BY17" s="335">
        <v>31.58</v>
      </c>
      <c r="BZ17" s="335">
        <v>303.95</v>
      </c>
      <c r="CA17" s="335">
        <v>279.98</v>
      </c>
      <c r="CB17" s="335">
        <v>259.02999999999997</v>
      </c>
      <c r="CC17" s="335">
        <v>257.92</v>
      </c>
      <c r="CD17" s="335">
        <v>148.18</v>
      </c>
      <c r="CE17" s="335">
        <v>145.81</v>
      </c>
      <c r="CF17" s="335">
        <v>144.84</v>
      </c>
      <c r="CG17" s="335">
        <v>148.07</v>
      </c>
      <c r="CH17" s="335">
        <v>-79.28</v>
      </c>
      <c r="CI17" s="335">
        <v>-74.37</v>
      </c>
      <c r="CJ17" s="335">
        <v>-257.13</v>
      </c>
      <c r="CK17" s="335">
        <v>-244.15</v>
      </c>
      <c r="CL17" s="335">
        <v>32.96</v>
      </c>
      <c r="CM17" s="335">
        <v>33.97</v>
      </c>
      <c r="CN17" s="335">
        <v>267.70999999999998</v>
      </c>
      <c r="CO17" s="335">
        <v>269.76</v>
      </c>
      <c r="CP17" s="335">
        <v>42.74</v>
      </c>
      <c r="CQ17" s="335">
        <v>39.92</v>
      </c>
      <c r="CR17" s="335">
        <v>41.33</v>
      </c>
      <c r="CS17" s="335">
        <v>41.43</v>
      </c>
      <c r="CT17" s="335">
        <v>38.590000000000003</v>
      </c>
      <c r="CU17" s="335">
        <v>269.64999999999998</v>
      </c>
      <c r="CV17" s="335">
        <v>405.89</v>
      </c>
      <c r="CW17" s="335">
        <v>691.97</v>
      </c>
      <c r="CX17" s="335">
        <v>538.98</v>
      </c>
      <c r="CY17" s="335">
        <v>147.72</v>
      </c>
      <c r="CZ17" s="335">
        <v>345.94</v>
      </c>
      <c r="DA17" s="335">
        <v>38</v>
      </c>
      <c r="DB17" s="335">
        <v>541.85</v>
      </c>
      <c r="DC17" s="335">
        <v>540.74</v>
      </c>
      <c r="DD17" s="335">
        <v>35.82</v>
      </c>
      <c r="DE17" s="335">
        <v>0.107</v>
      </c>
      <c r="DF17" s="335">
        <v>206.96</v>
      </c>
      <c r="DG17" s="335">
        <v>169.77</v>
      </c>
      <c r="DH17" s="335">
        <v>344.84</v>
      </c>
      <c r="DI17" s="335">
        <v>38.06</v>
      </c>
      <c r="DJ17" s="335">
        <v>213.59</v>
      </c>
      <c r="DK17" s="335">
        <v>36.19</v>
      </c>
      <c r="DL17" s="335">
        <v>36.26</v>
      </c>
      <c r="DM17" s="335">
        <v>45.32</v>
      </c>
      <c r="DN17" s="335">
        <v>44.97</v>
      </c>
      <c r="DO17" s="335">
        <v>538.98</v>
      </c>
      <c r="DP17" s="335">
        <v>538.57000000000005</v>
      </c>
      <c r="DQ17" s="335">
        <v>539.23</v>
      </c>
      <c r="DR17" s="335">
        <v>537.13</v>
      </c>
      <c r="DS17" s="335">
        <v>146.30000000000001</v>
      </c>
      <c r="DT17" s="335">
        <v>145.93</v>
      </c>
      <c r="DU17" s="335">
        <v>35.96</v>
      </c>
      <c r="DV17" s="335">
        <v>541.89</v>
      </c>
      <c r="DW17" s="335">
        <v>540.37</v>
      </c>
      <c r="DX17" s="335">
        <v>540.36</v>
      </c>
    </row>
    <row r="18" spans="1:128" x14ac:dyDescent="0.25">
      <c r="A18" s="328" t="s">
        <v>1486</v>
      </c>
      <c r="B18" s="335">
        <v>826.63</v>
      </c>
      <c r="C18" s="335">
        <v>0</v>
      </c>
      <c r="D18" s="335">
        <v>794</v>
      </c>
      <c r="E18" s="335">
        <v>24.63</v>
      </c>
      <c r="F18" s="335">
        <v>165.44</v>
      </c>
      <c r="G18" s="335">
        <v>247.16</v>
      </c>
      <c r="H18" s="335">
        <v>34.979999999999997</v>
      </c>
      <c r="I18" s="335">
        <v>14.88</v>
      </c>
      <c r="J18" s="335">
        <v>33.43</v>
      </c>
      <c r="K18" s="335">
        <v>17.920000000000002</v>
      </c>
      <c r="L18" s="335">
        <v>0</v>
      </c>
      <c r="M18" s="335">
        <v>247.029404</v>
      </c>
      <c r="N18" s="335">
        <v>167.37</v>
      </c>
      <c r="O18" s="335">
        <v>247.24</v>
      </c>
      <c r="P18" s="335">
        <v>246.84</v>
      </c>
      <c r="Q18" s="335">
        <v>168.5</v>
      </c>
      <c r="R18" s="335">
        <v>250.08</v>
      </c>
      <c r="S18" s="335">
        <v>1.24</v>
      </c>
      <c r="T18" s="335">
        <v>1.26</v>
      </c>
      <c r="U18" s="335">
        <v>165.65</v>
      </c>
      <c r="V18" s="335">
        <v>302.98</v>
      </c>
      <c r="W18" s="335">
        <v>302.98</v>
      </c>
      <c r="X18" s="335">
        <v>405.66778599999998</v>
      </c>
      <c r="Y18" s="335">
        <v>0</v>
      </c>
      <c r="Z18" s="335">
        <v>0</v>
      </c>
      <c r="AA18" s="335">
        <v>405.57</v>
      </c>
      <c r="AB18" s="335">
        <v>408.7</v>
      </c>
      <c r="AC18" s="335">
        <v>355.36</v>
      </c>
      <c r="AD18" s="335">
        <v>338.17</v>
      </c>
      <c r="AE18" s="335">
        <v>-45.94</v>
      </c>
      <c r="AF18" s="335">
        <v>-51.91</v>
      </c>
      <c r="AG18" s="335">
        <v>-72.52</v>
      </c>
      <c r="AH18" s="335">
        <v>-73.67</v>
      </c>
      <c r="AI18" s="335">
        <v>162.5</v>
      </c>
      <c r="AJ18" s="335">
        <v>149.18</v>
      </c>
      <c r="AK18" s="335">
        <v>540.11</v>
      </c>
      <c r="AL18" s="335">
        <v>36.14</v>
      </c>
      <c r="AM18" s="335">
        <v>543.11</v>
      </c>
      <c r="AN18" s="335">
        <v>543.15</v>
      </c>
      <c r="AO18" s="335">
        <v>2.64</v>
      </c>
      <c r="AP18" s="335">
        <v>2.63</v>
      </c>
      <c r="AQ18" s="335">
        <v>0</v>
      </c>
      <c r="AR18" s="335">
        <v>6.01</v>
      </c>
      <c r="AS18" s="335">
        <v>40.18</v>
      </c>
      <c r="AT18" s="335">
        <v>38.86</v>
      </c>
      <c r="AU18" s="335">
        <v>296.76</v>
      </c>
      <c r="AV18" s="335">
        <v>289.43</v>
      </c>
      <c r="AW18" s="335">
        <v>956.42</v>
      </c>
      <c r="AX18" s="335">
        <v>963.47</v>
      </c>
      <c r="AY18" s="335">
        <v>811.58</v>
      </c>
      <c r="AZ18" s="335">
        <v>827.99</v>
      </c>
      <c r="BA18" s="335">
        <v>104.29</v>
      </c>
      <c r="BB18" s="335">
        <v>102.06</v>
      </c>
      <c r="BC18" s="335">
        <v>201.61</v>
      </c>
      <c r="BD18" s="335">
        <v>42.76</v>
      </c>
      <c r="BE18" s="335">
        <v>43.67</v>
      </c>
      <c r="BF18" s="335">
        <v>42.53</v>
      </c>
      <c r="BG18" s="335">
        <v>42.61</v>
      </c>
      <c r="BH18" s="335">
        <v>30.25</v>
      </c>
      <c r="BI18" s="335">
        <v>76.63</v>
      </c>
      <c r="BJ18" s="335">
        <v>76.489999999999995</v>
      </c>
      <c r="BK18" s="335">
        <v>90.44</v>
      </c>
      <c r="BL18" s="335">
        <v>86.4</v>
      </c>
      <c r="BM18" s="335">
        <v>79.540000000000006</v>
      </c>
      <c r="BN18" s="335">
        <v>79.099999999999994</v>
      </c>
      <c r="BO18" s="335">
        <v>85.54</v>
      </c>
      <c r="BP18" s="335">
        <v>88.04</v>
      </c>
      <c r="BQ18" s="335">
        <v>73.02</v>
      </c>
      <c r="BR18" s="335">
        <v>75.64</v>
      </c>
      <c r="BS18" s="335">
        <v>236.45</v>
      </c>
      <c r="BT18" s="335">
        <v>0</v>
      </c>
      <c r="BU18" s="335">
        <v>273.89999999999998</v>
      </c>
      <c r="BV18" s="335">
        <v>255.72</v>
      </c>
      <c r="BW18" s="335">
        <v>0</v>
      </c>
      <c r="BX18" s="335">
        <v>32.72</v>
      </c>
      <c r="BY18" s="335">
        <v>31.58</v>
      </c>
      <c r="BZ18" s="335">
        <v>303.95</v>
      </c>
      <c r="CA18" s="335">
        <v>279.98</v>
      </c>
      <c r="CB18" s="335">
        <v>258.92</v>
      </c>
      <c r="CC18" s="335">
        <v>258.08</v>
      </c>
      <c r="CD18" s="335">
        <v>148.19</v>
      </c>
      <c r="CE18" s="335">
        <v>145.88</v>
      </c>
      <c r="CF18" s="335">
        <v>144.84</v>
      </c>
      <c r="CG18" s="335">
        <v>148.07</v>
      </c>
      <c r="CH18" s="335">
        <v>-79.209999999999994</v>
      </c>
      <c r="CI18" s="335">
        <v>-74.5</v>
      </c>
      <c r="CJ18" s="335">
        <v>-257.35000000000002</v>
      </c>
      <c r="CK18" s="335">
        <v>-244.33</v>
      </c>
      <c r="CL18" s="335">
        <v>32.96</v>
      </c>
      <c r="CM18" s="335">
        <v>33.97</v>
      </c>
      <c r="CN18" s="335">
        <v>267.60000000000002</v>
      </c>
      <c r="CO18" s="335">
        <v>269.72000000000003</v>
      </c>
      <c r="CP18" s="335">
        <v>42.65</v>
      </c>
      <c r="CQ18" s="335">
        <v>39.93</v>
      </c>
      <c r="CR18" s="335">
        <v>41.27</v>
      </c>
      <c r="CS18" s="335">
        <v>41.41</v>
      </c>
      <c r="CT18" s="335">
        <v>38.75</v>
      </c>
      <c r="CU18" s="335">
        <v>269.64999999999998</v>
      </c>
      <c r="CV18" s="335">
        <v>405.55</v>
      </c>
      <c r="CW18" s="335">
        <v>691.73</v>
      </c>
      <c r="CX18" s="335">
        <v>538.74</v>
      </c>
      <c r="CY18" s="335">
        <v>147.72</v>
      </c>
      <c r="CZ18" s="335">
        <v>345.94</v>
      </c>
      <c r="DA18" s="335">
        <v>38</v>
      </c>
      <c r="DB18" s="335">
        <v>541.85</v>
      </c>
      <c r="DC18" s="335">
        <v>540.74</v>
      </c>
      <c r="DD18" s="335">
        <v>35.82</v>
      </c>
      <c r="DE18" s="335">
        <v>0.107</v>
      </c>
      <c r="DF18" s="335">
        <v>206.96</v>
      </c>
      <c r="DG18" s="335">
        <v>169.67</v>
      </c>
      <c r="DH18" s="335">
        <v>344.84</v>
      </c>
      <c r="DI18" s="335">
        <v>38.06</v>
      </c>
      <c r="DJ18" s="335">
        <v>213.59</v>
      </c>
      <c r="DK18" s="335">
        <v>36.19</v>
      </c>
      <c r="DL18" s="335">
        <v>36.26</v>
      </c>
      <c r="DM18" s="335">
        <v>45.32</v>
      </c>
      <c r="DN18" s="335">
        <v>44.97</v>
      </c>
      <c r="DO18" s="335">
        <v>538.74</v>
      </c>
      <c r="DP18" s="335">
        <v>538.36</v>
      </c>
      <c r="DQ18" s="335">
        <v>539.09</v>
      </c>
      <c r="DR18" s="335">
        <v>536.84</v>
      </c>
      <c r="DS18" s="335">
        <v>146.30000000000001</v>
      </c>
      <c r="DT18" s="335">
        <v>145.93</v>
      </c>
      <c r="DU18" s="335">
        <v>35.96</v>
      </c>
      <c r="DV18" s="335">
        <v>541.89</v>
      </c>
      <c r="DW18" s="335">
        <v>540.37</v>
      </c>
      <c r="DX18" s="335">
        <v>540.36</v>
      </c>
    </row>
    <row r="19" spans="1:128" x14ac:dyDescent="0.25">
      <c r="A19" s="328" t="s">
        <v>1488</v>
      </c>
      <c r="B19" s="335">
        <v>826.95</v>
      </c>
      <c r="C19" s="335">
        <v>0</v>
      </c>
      <c r="D19" s="335">
        <v>795.46</v>
      </c>
      <c r="E19" s="335">
        <v>24.63</v>
      </c>
      <c r="F19" s="335">
        <v>166.02</v>
      </c>
      <c r="G19" s="335">
        <v>247.16</v>
      </c>
      <c r="H19" s="335">
        <v>35.53</v>
      </c>
      <c r="I19" s="335">
        <v>15.71</v>
      </c>
      <c r="J19" s="335">
        <v>34.479999999999997</v>
      </c>
      <c r="K19" s="335">
        <v>17.920000000000002</v>
      </c>
      <c r="L19" s="335">
        <v>0</v>
      </c>
      <c r="M19" s="335">
        <v>247.029404</v>
      </c>
      <c r="N19" s="335">
        <v>167.65</v>
      </c>
      <c r="O19" s="335">
        <v>247.24</v>
      </c>
      <c r="P19" s="335">
        <v>246.84</v>
      </c>
      <c r="Q19" s="335">
        <v>168.76</v>
      </c>
      <c r="R19" s="335">
        <v>250.08</v>
      </c>
      <c r="S19" s="335">
        <v>1.24</v>
      </c>
      <c r="T19" s="335">
        <v>1.26</v>
      </c>
      <c r="U19" s="335">
        <v>165.93</v>
      </c>
      <c r="V19" s="335">
        <v>302.98</v>
      </c>
      <c r="W19" s="335">
        <v>302.98</v>
      </c>
      <c r="X19" s="335">
        <v>405.66778599999998</v>
      </c>
      <c r="Y19" s="335">
        <v>0</v>
      </c>
      <c r="Z19" s="335">
        <v>0</v>
      </c>
      <c r="AA19" s="335">
        <v>405.67</v>
      </c>
      <c r="AB19" s="335">
        <v>408.7</v>
      </c>
      <c r="AC19" s="335">
        <v>355.36</v>
      </c>
      <c r="AD19" s="335">
        <v>338.17</v>
      </c>
      <c r="AE19" s="335">
        <v>-45.78</v>
      </c>
      <c r="AF19" s="335">
        <v>-51.58</v>
      </c>
      <c r="AG19" s="335">
        <v>-72.290000000000006</v>
      </c>
      <c r="AH19" s="335">
        <v>-73.42</v>
      </c>
      <c r="AI19" s="335">
        <v>162.78</v>
      </c>
      <c r="AJ19" s="335">
        <v>149.53</v>
      </c>
      <c r="AK19" s="335">
        <v>540.35</v>
      </c>
      <c r="AL19" s="335">
        <v>36.14</v>
      </c>
      <c r="AM19" s="335">
        <v>543.92999999999995</v>
      </c>
      <c r="AN19" s="335">
        <v>543.80999999999995</v>
      </c>
      <c r="AO19" s="335">
        <v>2.5</v>
      </c>
      <c r="AP19" s="335">
        <v>2.4900000000000002</v>
      </c>
      <c r="AQ19" s="335">
        <v>0</v>
      </c>
      <c r="AR19" s="335">
        <v>6.01</v>
      </c>
      <c r="AS19" s="335">
        <v>40.18</v>
      </c>
      <c r="AT19" s="335">
        <v>38.86</v>
      </c>
      <c r="AU19" s="335">
        <v>296.76</v>
      </c>
      <c r="AV19" s="335">
        <v>289.43</v>
      </c>
      <c r="AW19" s="335">
        <v>956.69</v>
      </c>
      <c r="AX19" s="335">
        <v>963.86</v>
      </c>
      <c r="AY19" s="335">
        <v>812</v>
      </c>
      <c r="AZ19" s="335">
        <v>828.36</v>
      </c>
      <c r="BA19" s="335">
        <v>104.09</v>
      </c>
      <c r="BB19" s="335">
        <v>102.03</v>
      </c>
      <c r="BC19" s="335">
        <v>201.55</v>
      </c>
      <c r="BD19" s="335">
        <v>42.76</v>
      </c>
      <c r="BE19" s="335">
        <v>43.67</v>
      </c>
      <c r="BF19" s="335">
        <v>42.35</v>
      </c>
      <c r="BG19" s="335">
        <v>42.61</v>
      </c>
      <c r="BH19" s="335">
        <v>30.25</v>
      </c>
      <c r="BI19" s="335">
        <v>76.819999999999993</v>
      </c>
      <c r="BJ19" s="335">
        <v>76.7</v>
      </c>
      <c r="BK19" s="335">
        <v>90.4</v>
      </c>
      <c r="BL19" s="335">
        <v>86.38</v>
      </c>
      <c r="BM19" s="335">
        <v>79.62</v>
      </c>
      <c r="BN19" s="335">
        <v>79.03</v>
      </c>
      <c r="BO19" s="335">
        <v>85.76</v>
      </c>
      <c r="BP19" s="335">
        <v>88.04</v>
      </c>
      <c r="BQ19" s="335">
        <v>72.849999999999994</v>
      </c>
      <c r="BR19" s="335">
        <v>75.64</v>
      </c>
      <c r="BS19" s="335">
        <v>236.71</v>
      </c>
      <c r="BT19" s="335">
        <v>0</v>
      </c>
      <c r="BU19" s="335">
        <v>273.89999999999998</v>
      </c>
      <c r="BV19" s="335">
        <v>255.92</v>
      </c>
      <c r="BW19" s="335">
        <v>0</v>
      </c>
      <c r="BX19" s="335">
        <v>32.72</v>
      </c>
      <c r="BY19" s="335">
        <v>31.58</v>
      </c>
      <c r="BZ19" s="335">
        <v>303.95</v>
      </c>
      <c r="CA19" s="335">
        <v>279.98</v>
      </c>
      <c r="CB19" s="335">
        <v>259.36</v>
      </c>
      <c r="CC19" s="335">
        <v>258.24</v>
      </c>
      <c r="CD19" s="335">
        <v>148.35</v>
      </c>
      <c r="CE19" s="335">
        <v>146.04</v>
      </c>
      <c r="CF19" s="335">
        <v>144.84</v>
      </c>
      <c r="CG19" s="335">
        <v>148.07</v>
      </c>
      <c r="CH19" s="335">
        <v>-78.989999999999995</v>
      </c>
      <c r="CI19" s="335">
        <v>-74.27</v>
      </c>
      <c r="CJ19" s="335">
        <v>-257.3</v>
      </c>
      <c r="CK19" s="335">
        <v>-244.4</v>
      </c>
      <c r="CL19" s="335">
        <v>32.96</v>
      </c>
      <c r="CM19" s="335">
        <v>33.97</v>
      </c>
      <c r="CN19" s="335">
        <v>267.63</v>
      </c>
      <c r="CO19" s="335">
        <v>269.77</v>
      </c>
      <c r="CP19" s="335">
        <v>42.63</v>
      </c>
      <c r="CQ19" s="335">
        <v>39.89</v>
      </c>
      <c r="CR19" s="335">
        <v>41.37</v>
      </c>
      <c r="CS19" s="335">
        <v>41.35</v>
      </c>
      <c r="CT19" s="335">
        <v>38.81</v>
      </c>
      <c r="CU19" s="335">
        <v>270.06</v>
      </c>
      <c r="CV19" s="335">
        <v>405.74</v>
      </c>
      <c r="CW19" s="335">
        <v>693.07</v>
      </c>
      <c r="CX19" s="335">
        <v>539.01</v>
      </c>
      <c r="CY19" s="335">
        <v>148.22</v>
      </c>
      <c r="CZ19" s="335">
        <v>345.94</v>
      </c>
      <c r="DA19" s="335">
        <v>38</v>
      </c>
      <c r="DB19" s="335">
        <v>542.16999999999996</v>
      </c>
      <c r="DC19" s="335">
        <v>541.41</v>
      </c>
      <c r="DD19" s="335">
        <v>35.82</v>
      </c>
      <c r="DE19" s="335">
        <v>0.107</v>
      </c>
      <c r="DF19" s="335">
        <v>206.96</v>
      </c>
      <c r="DG19" s="335">
        <v>170.17</v>
      </c>
      <c r="DH19" s="335">
        <v>344.84</v>
      </c>
      <c r="DI19" s="335">
        <v>38.06</v>
      </c>
      <c r="DJ19" s="335">
        <v>213.59</v>
      </c>
      <c r="DK19" s="335">
        <v>36.19</v>
      </c>
      <c r="DL19" s="335">
        <v>36.26</v>
      </c>
      <c r="DM19" s="335">
        <v>45.32</v>
      </c>
      <c r="DN19" s="335">
        <v>44.97</v>
      </c>
      <c r="DO19" s="335">
        <v>539.01</v>
      </c>
      <c r="DP19" s="335">
        <v>538.67999999999995</v>
      </c>
      <c r="DQ19" s="335">
        <v>539.27</v>
      </c>
      <c r="DR19" s="335">
        <v>537.37</v>
      </c>
      <c r="DS19" s="335">
        <v>146.85</v>
      </c>
      <c r="DT19" s="335">
        <v>146.53</v>
      </c>
      <c r="DU19" s="335">
        <v>35.96</v>
      </c>
      <c r="DV19" s="335">
        <v>542.16</v>
      </c>
      <c r="DW19" s="335">
        <v>541.03</v>
      </c>
      <c r="DX19" s="335">
        <v>541.04999999999995</v>
      </c>
    </row>
    <row r="20" spans="1:128" x14ac:dyDescent="0.25">
      <c r="A20" s="328" t="s">
        <v>1489</v>
      </c>
      <c r="B20" s="335">
        <v>831.07</v>
      </c>
      <c r="C20" s="335">
        <v>0</v>
      </c>
      <c r="D20" s="335">
        <v>799.05</v>
      </c>
      <c r="E20" s="335">
        <v>25.43</v>
      </c>
      <c r="F20" s="335">
        <v>167.37</v>
      </c>
      <c r="G20" s="335">
        <v>247.16</v>
      </c>
      <c r="H20" s="335">
        <v>36.020000000000003</v>
      </c>
      <c r="I20" s="335">
        <v>15.09</v>
      </c>
      <c r="J20" s="335">
        <v>34.5</v>
      </c>
      <c r="K20" s="335">
        <v>17.920000000000002</v>
      </c>
      <c r="L20" s="335">
        <v>0</v>
      </c>
      <c r="M20" s="335">
        <v>247.029404</v>
      </c>
      <c r="N20" s="335">
        <v>169.06</v>
      </c>
      <c r="O20" s="335">
        <v>247.24</v>
      </c>
      <c r="P20" s="335">
        <v>246.84</v>
      </c>
      <c r="Q20" s="335">
        <v>170.19</v>
      </c>
      <c r="R20" s="335">
        <v>250.08</v>
      </c>
      <c r="S20" s="335">
        <v>1.24</v>
      </c>
      <c r="T20" s="335">
        <v>1.26</v>
      </c>
      <c r="U20" s="335">
        <v>167.34</v>
      </c>
      <c r="V20" s="335">
        <v>302.98</v>
      </c>
      <c r="W20" s="335">
        <v>302.98</v>
      </c>
      <c r="X20" s="335">
        <v>405.66778599999998</v>
      </c>
      <c r="Y20" s="335">
        <v>0</v>
      </c>
      <c r="Z20" s="335">
        <v>0</v>
      </c>
      <c r="AA20" s="335">
        <v>405.67</v>
      </c>
      <c r="AB20" s="335">
        <v>408.93</v>
      </c>
      <c r="AC20" s="335">
        <v>355.75</v>
      </c>
      <c r="AD20" s="335">
        <v>338.32</v>
      </c>
      <c r="AE20" s="335">
        <v>-45.87</v>
      </c>
      <c r="AF20" s="335">
        <v>-53.42</v>
      </c>
      <c r="AG20" s="335">
        <v>-72.510000000000005</v>
      </c>
      <c r="AH20" s="335">
        <v>-73.760000000000005</v>
      </c>
      <c r="AI20" s="335">
        <v>164.18</v>
      </c>
      <c r="AJ20" s="335">
        <v>150.9</v>
      </c>
      <c r="AK20" s="335">
        <v>540.33000000000004</v>
      </c>
      <c r="AL20" s="335">
        <v>36.14</v>
      </c>
      <c r="AM20" s="335">
        <v>544.49</v>
      </c>
      <c r="AN20" s="335">
        <v>544.25</v>
      </c>
      <c r="AO20" s="335">
        <v>2.54</v>
      </c>
      <c r="AP20" s="335">
        <v>2.4900000000000002</v>
      </c>
      <c r="AQ20" s="335">
        <v>0</v>
      </c>
      <c r="AR20" s="335">
        <v>6.01</v>
      </c>
      <c r="AS20" s="335">
        <v>40.18</v>
      </c>
      <c r="AT20" s="335">
        <v>38.86</v>
      </c>
      <c r="AU20" s="335">
        <v>296.76</v>
      </c>
      <c r="AV20" s="335">
        <v>289.43</v>
      </c>
      <c r="AW20" s="335">
        <v>956.97</v>
      </c>
      <c r="AX20" s="335">
        <v>964.09</v>
      </c>
      <c r="AY20" s="335">
        <v>812.11</v>
      </c>
      <c r="AZ20" s="335">
        <v>828.34</v>
      </c>
      <c r="BA20" s="335">
        <v>103.97</v>
      </c>
      <c r="BB20" s="335">
        <v>102.05</v>
      </c>
      <c r="BC20" s="335">
        <v>201.51</v>
      </c>
      <c r="BD20" s="335">
        <v>42.76</v>
      </c>
      <c r="BE20" s="335">
        <v>43.67</v>
      </c>
      <c r="BF20" s="335">
        <v>42.35</v>
      </c>
      <c r="BG20" s="335">
        <v>42.61</v>
      </c>
      <c r="BH20" s="335">
        <v>30.25</v>
      </c>
      <c r="BI20" s="335">
        <v>77.06</v>
      </c>
      <c r="BJ20" s="335">
        <v>76.97</v>
      </c>
      <c r="BK20" s="335">
        <v>90.38</v>
      </c>
      <c r="BL20" s="335">
        <v>86.38</v>
      </c>
      <c r="BM20" s="335">
        <v>79.83</v>
      </c>
      <c r="BN20" s="335">
        <v>79.31</v>
      </c>
      <c r="BO20" s="335">
        <v>85.89</v>
      </c>
      <c r="BP20" s="335">
        <v>88.1</v>
      </c>
      <c r="BQ20" s="335">
        <v>72.760000000000005</v>
      </c>
      <c r="BR20" s="335">
        <v>75.64</v>
      </c>
      <c r="BS20" s="335">
        <v>236.71</v>
      </c>
      <c r="BT20" s="335">
        <v>0</v>
      </c>
      <c r="BU20" s="335">
        <v>273.89999999999998</v>
      </c>
      <c r="BV20" s="335">
        <v>255.92</v>
      </c>
      <c r="BW20" s="335">
        <v>0</v>
      </c>
      <c r="BX20" s="335">
        <v>32.72</v>
      </c>
      <c r="BY20" s="335">
        <v>31.58</v>
      </c>
      <c r="BZ20" s="335">
        <v>303.95</v>
      </c>
      <c r="CA20" s="335">
        <v>279.98</v>
      </c>
      <c r="CB20" s="335">
        <v>259.37</v>
      </c>
      <c r="CC20" s="335">
        <v>258.13</v>
      </c>
      <c r="CD20" s="335">
        <v>148.18</v>
      </c>
      <c r="CE20" s="335">
        <v>145.85</v>
      </c>
      <c r="CF20" s="335">
        <v>144.84</v>
      </c>
      <c r="CG20" s="335">
        <v>148.07</v>
      </c>
      <c r="CH20" s="335">
        <v>-79.25</v>
      </c>
      <c r="CI20" s="335">
        <v>-74.61</v>
      </c>
      <c r="CJ20" s="335">
        <v>-257.74</v>
      </c>
      <c r="CK20" s="335">
        <v>-244.74</v>
      </c>
      <c r="CL20" s="335">
        <v>32.96</v>
      </c>
      <c r="CM20" s="335">
        <v>33.97</v>
      </c>
      <c r="CN20" s="335">
        <v>267.93</v>
      </c>
      <c r="CO20" s="335">
        <v>270.11</v>
      </c>
      <c r="CP20" s="335">
        <v>42.66</v>
      </c>
      <c r="CQ20" s="335">
        <v>39.93</v>
      </c>
      <c r="CR20" s="335">
        <v>41.3</v>
      </c>
      <c r="CS20" s="335">
        <v>41.39</v>
      </c>
      <c r="CT20" s="335">
        <v>38.799999999999997</v>
      </c>
      <c r="CU20" s="335">
        <v>271.54000000000002</v>
      </c>
      <c r="CV20" s="335">
        <v>406.32</v>
      </c>
      <c r="CW20" s="335">
        <v>694.84</v>
      </c>
      <c r="CX20" s="335">
        <v>539.04999999999995</v>
      </c>
      <c r="CY20" s="335">
        <v>149.68</v>
      </c>
      <c r="CZ20" s="335">
        <v>345.81</v>
      </c>
      <c r="DA20" s="335">
        <v>38</v>
      </c>
      <c r="DB20" s="335">
        <v>542.95000000000005</v>
      </c>
      <c r="DC20" s="335">
        <v>541.86</v>
      </c>
      <c r="DD20" s="335">
        <v>35.82</v>
      </c>
      <c r="DE20" s="335">
        <v>0.107</v>
      </c>
      <c r="DF20" s="335">
        <v>206.96</v>
      </c>
      <c r="DG20" s="335">
        <v>171.6</v>
      </c>
      <c r="DH20" s="335">
        <v>344.82</v>
      </c>
      <c r="DI20" s="335">
        <v>38.06</v>
      </c>
      <c r="DJ20" s="335">
        <v>214.06</v>
      </c>
      <c r="DK20" s="335">
        <v>36.19</v>
      </c>
      <c r="DL20" s="335">
        <v>36.26</v>
      </c>
      <c r="DM20" s="335">
        <v>45.32</v>
      </c>
      <c r="DN20" s="335">
        <v>44.97</v>
      </c>
      <c r="DO20" s="335">
        <v>539.04999999999995</v>
      </c>
      <c r="DP20" s="335">
        <v>538.57000000000005</v>
      </c>
      <c r="DQ20" s="335">
        <v>539.30999999999995</v>
      </c>
      <c r="DR20" s="335">
        <v>537.37</v>
      </c>
      <c r="DS20" s="335">
        <v>148.30000000000001</v>
      </c>
      <c r="DT20" s="335">
        <v>147.96</v>
      </c>
      <c r="DU20" s="335">
        <v>35.96</v>
      </c>
      <c r="DV20" s="335">
        <v>542.91999999999996</v>
      </c>
      <c r="DW20" s="335">
        <v>541.49</v>
      </c>
      <c r="DX20" s="335">
        <v>541.42999999999995</v>
      </c>
    </row>
    <row r="21" spans="1:128" x14ac:dyDescent="0.25">
      <c r="A21" s="328" t="s">
        <v>1491</v>
      </c>
      <c r="B21" s="335">
        <v>834.78</v>
      </c>
      <c r="C21" s="335">
        <v>0</v>
      </c>
      <c r="D21" s="335">
        <v>800.39</v>
      </c>
      <c r="E21" s="335">
        <v>25.93</v>
      </c>
      <c r="F21" s="335">
        <v>167.57</v>
      </c>
      <c r="G21" s="335">
        <v>247.48</v>
      </c>
      <c r="H21" s="335">
        <v>33.369999999999997</v>
      </c>
      <c r="I21" s="335">
        <v>14.95</v>
      </c>
      <c r="J21" s="335">
        <v>32.79</v>
      </c>
      <c r="K21" s="335">
        <v>18.010000000000002</v>
      </c>
      <c r="L21" s="335">
        <v>0</v>
      </c>
      <c r="M21" s="335">
        <v>247.29896500000001</v>
      </c>
      <c r="N21" s="335">
        <v>169.48</v>
      </c>
      <c r="O21" s="335">
        <v>247.54</v>
      </c>
      <c r="P21" s="335">
        <v>247.17</v>
      </c>
      <c r="Q21" s="335">
        <v>170.59</v>
      </c>
      <c r="R21" s="335">
        <v>250.49</v>
      </c>
      <c r="S21" s="335">
        <v>1.27</v>
      </c>
      <c r="T21" s="335">
        <v>1.28</v>
      </c>
      <c r="U21" s="335">
        <v>167.72</v>
      </c>
      <c r="V21" s="335">
        <v>303.14</v>
      </c>
      <c r="W21" s="335">
        <v>303.24</v>
      </c>
      <c r="X21" s="335">
        <v>405.971161</v>
      </c>
      <c r="Y21" s="335">
        <v>0</v>
      </c>
      <c r="Z21" s="335">
        <v>0</v>
      </c>
      <c r="AA21" s="335">
        <v>405.97</v>
      </c>
      <c r="AB21" s="335">
        <v>409.26</v>
      </c>
      <c r="AC21" s="335">
        <v>355.93</v>
      </c>
      <c r="AD21" s="335">
        <v>338.69</v>
      </c>
      <c r="AE21" s="335">
        <v>-46.07</v>
      </c>
      <c r="AF21" s="335">
        <v>-51.54</v>
      </c>
      <c r="AG21" s="335">
        <v>-72.62</v>
      </c>
      <c r="AH21" s="335">
        <v>-73.75</v>
      </c>
      <c r="AI21" s="335">
        <v>164.54</v>
      </c>
      <c r="AJ21" s="335">
        <v>151.30000000000001</v>
      </c>
      <c r="AK21" s="335">
        <v>539.39</v>
      </c>
      <c r="AL21" s="335">
        <v>36.32</v>
      </c>
      <c r="AM21" s="335">
        <v>542.71</v>
      </c>
      <c r="AN21" s="335">
        <v>542.78</v>
      </c>
      <c r="AO21" s="335">
        <v>2.6</v>
      </c>
      <c r="AP21" s="335">
        <v>2.48</v>
      </c>
      <c r="AQ21" s="335">
        <v>0</v>
      </c>
      <c r="AR21" s="335">
        <v>6.14</v>
      </c>
      <c r="AS21" s="335">
        <v>39.79</v>
      </c>
      <c r="AT21" s="335">
        <v>38.89</v>
      </c>
      <c r="AU21" s="335">
        <v>297.07</v>
      </c>
      <c r="AV21" s="335">
        <v>289.52</v>
      </c>
      <c r="AW21" s="335">
        <v>956.49</v>
      </c>
      <c r="AX21" s="335">
        <v>963.51</v>
      </c>
      <c r="AY21" s="335">
        <v>811.54</v>
      </c>
      <c r="AZ21" s="335">
        <v>827.99</v>
      </c>
      <c r="BA21" s="335">
        <v>103.9</v>
      </c>
      <c r="BB21" s="335">
        <v>102.24</v>
      </c>
      <c r="BC21" s="335">
        <v>201.47</v>
      </c>
      <c r="BD21" s="335">
        <v>42.9</v>
      </c>
      <c r="BE21" s="335">
        <v>43.63</v>
      </c>
      <c r="BF21" s="335">
        <v>42.42</v>
      </c>
      <c r="BG21" s="335">
        <v>42.69</v>
      </c>
      <c r="BH21" s="335">
        <v>30.02</v>
      </c>
      <c r="BI21" s="335">
        <v>76.930000000000007</v>
      </c>
      <c r="BJ21" s="335">
        <v>76.790000000000006</v>
      </c>
      <c r="BK21" s="335">
        <v>90.11</v>
      </c>
      <c r="BL21" s="335">
        <v>86.07</v>
      </c>
      <c r="BM21" s="335">
        <v>79.89</v>
      </c>
      <c r="BN21" s="335">
        <v>79.3</v>
      </c>
      <c r="BO21" s="335">
        <v>85.75</v>
      </c>
      <c r="BP21" s="335">
        <v>88.25</v>
      </c>
      <c r="BQ21" s="335">
        <v>72.97</v>
      </c>
      <c r="BR21" s="335">
        <v>75.73</v>
      </c>
      <c r="BS21" s="335">
        <v>236.27</v>
      </c>
      <c r="BT21" s="335">
        <v>0</v>
      </c>
      <c r="BU21" s="335">
        <v>274.01</v>
      </c>
      <c r="BV21" s="335">
        <v>255.92</v>
      </c>
      <c r="BW21" s="335">
        <v>0</v>
      </c>
      <c r="BX21" s="335">
        <v>32.340000000000003</v>
      </c>
      <c r="BY21" s="335">
        <v>31.13</v>
      </c>
      <c r="BZ21" s="335">
        <v>304.35000000000002</v>
      </c>
      <c r="CA21" s="335">
        <v>280.25</v>
      </c>
      <c r="CB21" s="335">
        <v>259.7</v>
      </c>
      <c r="CC21" s="335">
        <v>258.36</v>
      </c>
      <c r="CD21" s="335">
        <v>148.36000000000001</v>
      </c>
      <c r="CE21" s="335">
        <v>146.04</v>
      </c>
      <c r="CF21" s="335">
        <v>144.91</v>
      </c>
      <c r="CG21" s="335">
        <v>148</v>
      </c>
      <c r="CH21" s="335">
        <v>-79.09</v>
      </c>
      <c r="CI21" s="335">
        <v>-74.63</v>
      </c>
      <c r="CJ21" s="335">
        <v>-257.86</v>
      </c>
      <c r="CK21" s="335">
        <v>-244.88</v>
      </c>
      <c r="CL21" s="335">
        <v>32.69</v>
      </c>
      <c r="CM21" s="335">
        <v>33.93</v>
      </c>
      <c r="CN21" s="335">
        <v>268.01</v>
      </c>
      <c r="CO21" s="335">
        <v>270.02</v>
      </c>
      <c r="CP21" s="335">
        <v>42.69</v>
      </c>
      <c r="CQ21" s="335">
        <v>39.880000000000003</v>
      </c>
      <c r="CR21" s="335">
        <v>41.28</v>
      </c>
      <c r="CS21" s="335">
        <v>41.41</v>
      </c>
      <c r="CT21" s="335">
        <v>38.81</v>
      </c>
      <c r="CU21" s="335">
        <v>271.70999999999998</v>
      </c>
      <c r="CV21" s="335">
        <v>405.95</v>
      </c>
      <c r="CW21" s="335">
        <v>694.14</v>
      </c>
      <c r="CX21" s="335">
        <v>538.30999999999995</v>
      </c>
      <c r="CY21" s="335">
        <v>149.94999999999999</v>
      </c>
      <c r="CZ21" s="335">
        <v>345.16</v>
      </c>
      <c r="DA21" s="335">
        <v>38.159999999999997</v>
      </c>
      <c r="DB21" s="335">
        <v>541.85</v>
      </c>
      <c r="DC21" s="335">
        <v>540.92999999999995</v>
      </c>
      <c r="DD21" s="335">
        <v>36</v>
      </c>
      <c r="DE21" s="335">
        <v>0.10630000000000001</v>
      </c>
      <c r="DF21" s="335">
        <v>207.29</v>
      </c>
      <c r="DG21" s="335">
        <v>172</v>
      </c>
      <c r="DH21" s="335">
        <v>344.32</v>
      </c>
      <c r="DI21" s="335">
        <v>38.21</v>
      </c>
      <c r="DJ21" s="335">
        <v>214.06</v>
      </c>
      <c r="DK21" s="335">
        <v>36.01</v>
      </c>
      <c r="DL21" s="335">
        <v>36.119999999999997</v>
      </c>
      <c r="DM21" s="335">
        <v>45.18</v>
      </c>
      <c r="DN21" s="335">
        <v>44.87</v>
      </c>
      <c r="DO21" s="335">
        <v>538.30999999999995</v>
      </c>
      <c r="DP21" s="335">
        <v>537.87</v>
      </c>
      <c r="DQ21" s="335">
        <v>538.51</v>
      </c>
      <c r="DR21" s="335">
        <v>536.34</v>
      </c>
      <c r="DS21" s="335">
        <v>148.6</v>
      </c>
      <c r="DT21" s="335">
        <v>148.22</v>
      </c>
      <c r="DU21" s="335">
        <v>36.130000000000003</v>
      </c>
      <c r="DV21" s="335">
        <v>541.82000000000005</v>
      </c>
      <c r="DW21" s="335">
        <v>540.38</v>
      </c>
      <c r="DX21" s="335">
        <v>540.39</v>
      </c>
    </row>
    <row r="22" spans="1:128" x14ac:dyDescent="0.25">
      <c r="A22" s="328" t="s">
        <v>1492</v>
      </c>
      <c r="B22" s="335">
        <v>831.13</v>
      </c>
      <c r="C22" s="335">
        <v>0</v>
      </c>
      <c r="D22" s="335">
        <v>798.8</v>
      </c>
      <c r="E22" s="335">
        <v>25.93</v>
      </c>
      <c r="F22" s="335">
        <v>167.13</v>
      </c>
      <c r="G22" s="335">
        <v>247.48</v>
      </c>
      <c r="H22" s="335">
        <v>33.68</v>
      </c>
      <c r="I22" s="335">
        <v>15.71</v>
      </c>
      <c r="J22" s="335">
        <v>31.66</v>
      </c>
      <c r="K22" s="335">
        <v>18.010000000000002</v>
      </c>
      <c r="L22" s="335">
        <v>0</v>
      </c>
      <c r="M22" s="335">
        <v>247.29896500000001</v>
      </c>
      <c r="N22" s="335">
        <v>169.08</v>
      </c>
      <c r="O22" s="335">
        <v>247.54</v>
      </c>
      <c r="P22" s="335">
        <v>247.17</v>
      </c>
      <c r="Q22" s="335">
        <v>170.18</v>
      </c>
      <c r="R22" s="335">
        <v>250.49</v>
      </c>
      <c r="S22" s="335">
        <v>1.27</v>
      </c>
      <c r="T22" s="335">
        <v>1.28</v>
      </c>
      <c r="U22" s="335">
        <v>167.32</v>
      </c>
      <c r="V22" s="335">
        <v>302.62</v>
      </c>
      <c r="W22" s="335">
        <v>302.82</v>
      </c>
      <c r="X22" s="335">
        <v>405.971161</v>
      </c>
      <c r="Y22" s="335">
        <v>0</v>
      </c>
      <c r="Z22" s="335">
        <v>0</v>
      </c>
      <c r="AA22" s="335">
        <v>405.97</v>
      </c>
      <c r="AB22" s="335">
        <v>408.92</v>
      </c>
      <c r="AC22" s="335">
        <v>355.93</v>
      </c>
      <c r="AD22" s="335">
        <v>338.69</v>
      </c>
      <c r="AE22" s="335">
        <v>-46.25</v>
      </c>
      <c r="AF22" s="335">
        <v>-50.13</v>
      </c>
      <c r="AG22" s="335">
        <v>-72.62</v>
      </c>
      <c r="AH22" s="335">
        <v>-73.67</v>
      </c>
      <c r="AI22" s="335">
        <v>164.12</v>
      </c>
      <c r="AJ22" s="335">
        <v>150.82</v>
      </c>
      <c r="AK22" s="335">
        <v>540.09</v>
      </c>
      <c r="AL22" s="335">
        <v>36.32</v>
      </c>
      <c r="AM22" s="335">
        <v>541.86</v>
      </c>
      <c r="AN22" s="335">
        <v>541.83000000000004</v>
      </c>
      <c r="AO22" s="335">
        <v>2.56</v>
      </c>
      <c r="AP22" s="335">
        <v>2.48</v>
      </c>
      <c r="AQ22" s="335">
        <v>0</v>
      </c>
      <c r="AR22" s="335">
        <v>6.14</v>
      </c>
      <c r="AS22" s="335">
        <v>39.79</v>
      </c>
      <c r="AT22" s="335">
        <v>38.89</v>
      </c>
      <c r="AU22" s="335">
        <v>297.07</v>
      </c>
      <c r="AV22" s="335">
        <v>289.52</v>
      </c>
      <c r="AW22" s="335">
        <v>955.38</v>
      </c>
      <c r="AX22" s="335">
        <v>962.49</v>
      </c>
      <c r="AY22" s="335">
        <v>810.65</v>
      </c>
      <c r="AZ22" s="335">
        <v>827.15</v>
      </c>
      <c r="BA22" s="335">
        <v>103.93</v>
      </c>
      <c r="BB22" s="335">
        <v>102.25</v>
      </c>
      <c r="BC22" s="335">
        <v>201.72</v>
      </c>
      <c r="BD22" s="335">
        <v>42.9</v>
      </c>
      <c r="BE22" s="335">
        <v>43.63</v>
      </c>
      <c r="BF22" s="335">
        <v>42.42</v>
      </c>
      <c r="BG22" s="335">
        <v>42.69</v>
      </c>
      <c r="BH22" s="335">
        <v>30.02</v>
      </c>
      <c r="BI22" s="335">
        <v>76.930000000000007</v>
      </c>
      <c r="BJ22" s="335">
        <v>76.81</v>
      </c>
      <c r="BK22" s="335">
        <v>90.25</v>
      </c>
      <c r="BL22" s="335">
        <v>86.19</v>
      </c>
      <c r="BM22" s="335">
        <v>79.709999999999994</v>
      </c>
      <c r="BN22" s="335">
        <v>79.099999999999994</v>
      </c>
      <c r="BO22" s="335">
        <v>85.75</v>
      </c>
      <c r="BP22" s="335">
        <v>88.08</v>
      </c>
      <c r="BQ22" s="335">
        <v>72.97</v>
      </c>
      <c r="BR22" s="335">
        <v>75.38</v>
      </c>
      <c r="BS22" s="335">
        <v>236.27</v>
      </c>
      <c r="BT22" s="335">
        <v>0</v>
      </c>
      <c r="BU22" s="335">
        <v>274.01</v>
      </c>
      <c r="BV22" s="335">
        <v>255.92</v>
      </c>
      <c r="BW22" s="335">
        <v>0</v>
      </c>
      <c r="BX22" s="335">
        <v>32.340000000000003</v>
      </c>
      <c r="BY22" s="335">
        <v>31.13</v>
      </c>
      <c r="BZ22" s="335">
        <v>304.35000000000002</v>
      </c>
      <c r="CA22" s="335">
        <v>280.25</v>
      </c>
      <c r="CB22" s="335">
        <v>259.10000000000002</v>
      </c>
      <c r="CC22" s="335">
        <v>258.04000000000002</v>
      </c>
      <c r="CD22" s="335">
        <v>148.06</v>
      </c>
      <c r="CE22" s="335">
        <v>145.76</v>
      </c>
      <c r="CF22" s="335">
        <v>144.91</v>
      </c>
      <c r="CG22" s="335">
        <v>148</v>
      </c>
      <c r="CH22" s="335">
        <v>-78.58</v>
      </c>
      <c r="CI22" s="335">
        <v>-74.95</v>
      </c>
      <c r="CJ22" s="335">
        <v>-257.58</v>
      </c>
      <c r="CK22" s="335">
        <v>-244.75</v>
      </c>
      <c r="CL22" s="335">
        <v>32.69</v>
      </c>
      <c r="CM22" s="335">
        <v>33.93</v>
      </c>
      <c r="CN22" s="335">
        <v>267.74</v>
      </c>
      <c r="CO22" s="335">
        <v>269.85000000000002</v>
      </c>
      <c r="CP22" s="335">
        <v>42.7</v>
      </c>
      <c r="CQ22" s="335">
        <v>39.94</v>
      </c>
      <c r="CR22" s="335">
        <v>41.33</v>
      </c>
      <c r="CS22" s="335">
        <v>41.45</v>
      </c>
      <c r="CT22" s="335">
        <v>38.76</v>
      </c>
      <c r="CU22" s="335">
        <v>271.25</v>
      </c>
      <c r="CV22" s="335">
        <v>405.78</v>
      </c>
      <c r="CW22" s="335">
        <v>693.37</v>
      </c>
      <c r="CX22" s="335">
        <v>539.02</v>
      </c>
      <c r="CY22" s="335">
        <v>149.49</v>
      </c>
      <c r="CZ22" s="335">
        <v>345.34</v>
      </c>
      <c r="DA22" s="335">
        <v>38.159999999999997</v>
      </c>
      <c r="DB22" s="335">
        <v>541.16999999999996</v>
      </c>
      <c r="DC22" s="335">
        <v>540</v>
      </c>
      <c r="DD22" s="335">
        <v>36</v>
      </c>
      <c r="DE22" s="335">
        <v>0.10630000000000001</v>
      </c>
      <c r="DF22" s="335">
        <v>207.29</v>
      </c>
      <c r="DG22" s="335">
        <v>171.6</v>
      </c>
      <c r="DH22" s="335">
        <v>344.32</v>
      </c>
      <c r="DI22" s="335">
        <v>38.21</v>
      </c>
      <c r="DJ22" s="335">
        <v>214.06</v>
      </c>
      <c r="DK22" s="335">
        <v>36.01</v>
      </c>
      <c r="DL22" s="335">
        <v>36.119999999999997</v>
      </c>
      <c r="DM22" s="335">
        <v>45.18</v>
      </c>
      <c r="DN22" s="335">
        <v>44.87</v>
      </c>
      <c r="DO22" s="335">
        <v>539.02</v>
      </c>
      <c r="DP22" s="335">
        <v>538.4</v>
      </c>
      <c r="DQ22" s="335">
        <v>538.98</v>
      </c>
      <c r="DR22" s="335">
        <v>537.11</v>
      </c>
      <c r="DS22" s="335">
        <v>148.13</v>
      </c>
      <c r="DT22" s="335">
        <v>147.76</v>
      </c>
      <c r="DU22" s="335">
        <v>36.130000000000003</v>
      </c>
      <c r="DV22" s="335">
        <v>540.89</v>
      </c>
      <c r="DW22" s="335">
        <v>539.55999999999995</v>
      </c>
      <c r="DX22" s="335">
        <v>539.85</v>
      </c>
    </row>
    <row r="23" spans="1:128" x14ac:dyDescent="0.25">
      <c r="A23" s="328" t="s">
        <v>1493</v>
      </c>
      <c r="B23" s="335">
        <v>832.04</v>
      </c>
      <c r="C23" s="335">
        <v>0</v>
      </c>
      <c r="D23" s="335">
        <v>799.07</v>
      </c>
      <c r="E23" s="335">
        <v>25.93</v>
      </c>
      <c r="F23" s="335">
        <v>167.02</v>
      </c>
      <c r="G23" s="335">
        <v>247.48</v>
      </c>
      <c r="H23" s="335">
        <v>34.619999999999997</v>
      </c>
      <c r="I23" s="335">
        <v>15.96</v>
      </c>
      <c r="J23" s="335">
        <v>32.26</v>
      </c>
      <c r="K23" s="335">
        <v>18.010000000000002</v>
      </c>
      <c r="L23" s="335">
        <v>0</v>
      </c>
      <c r="M23" s="335">
        <v>247.29896500000001</v>
      </c>
      <c r="N23" s="335">
        <v>168.96</v>
      </c>
      <c r="O23" s="335">
        <v>247.54</v>
      </c>
      <c r="P23" s="335">
        <v>247.17</v>
      </c>
      <c r="Q23" s="335">
        <v>170.05</v>
      </c>
      <c r="R23" s="335">
        <v>250.49</v>
      </c>
      <c r="S23" s="335">
        <v>1.27</v>
      </c>
      <c r="T23" s="335">
        <v>1.28</v>
      </c>
      <c r="U23" s="335">
        <v>167.2</v>
      </c>
      <c r="V23" s="335">
        <v>302.62</v>
      </c>
      <c r="W23" s="335">
        <v>302.67</v>
      </c>
      <c r="X23" s="335">
        <v>405.971161</v>
      </c>
      <c r="Y23" s="335">
        <v>0</v>
      </c>
      <c r="Z23" s="335">
        <v>0</v>
      </c>
      <c r="AA23" s="335">
        <v>405.97</v>
      </c>
      <c r="AB23" s="335">
        <v>408.74</v>
      </c>
      <c r="AC23" s="335">
        <v>355.93</v>
      </c>
      <c r="AD23" s="335">
        <v>338.69</v>
      </c>
      <c r="AE23" s="335">
        <v>-46.95</v>
      </c>
      <c r="AF23" s="335">
        <v>-48.38</v>
      </c>
      <c r="AG23" s="335">
        <v>-73.22</v>
      </c>
      <c r="AH23" s="335">
        <v>-74.16</v>
      </c>
      <c r="AI23" s="335">
        <v>164.03</v>
      </c>
      <c r="AJ23" s="335">
        <v>150.75</v>
      </c>
      <c r="AK23" s="335">
        <v>540.24</v>
      </c>
      <c r="AL23" s="335">
        <v>36.32</v>
      </c>
      <c r="AM23" s="335">
        <v>542.28</v>
      </c>
      <c r="AN23" s="335">
        <v>542.29999999999995</v>
      </c>
      <c r="AO23" s="335">
        <v>2.56</v>
      </c>
      <c r="AP23" s="335">
        <v>2.52</v>
      </c>
      <c r="AQ23" s="335">
        <v>0</v>
      </c>
      <c r="AR23" s="335">
        <v>6.14</v>
      </c>
      <c r="AS23" s="335">
        <v>39.79</v>
      </c>
      <c r="AT23" s="335">
        <v>38.89</v>
      </c>
      <c r="AU23" s="335">
        <v>297.07</v>
      </c>
      <c r="AV23" s="335">
        <v>289.52</v>
      </c>
      <c r="AW23" s="335">
        <v>954.6</v>
      </c>
      <c r="AX23" s="335">
        <v>961.71</v>
      </c>
      <c r="AY23" s="335">
        <v>809.54</v>
      </c>
      <c r="AZ23" s="335">
        <v>826.03</v>
      </c>
      <c r="BA23" s="335">
        <v>104.05</v>
      </c>
      <c r="BB23" s="335">
        <v>102.31</v>
      </c>
      <c r="BC23" s="335">
        <v>201.67</v>
      </c>
      <c r="BD23" s="335">
        <v>42.9</v>
      </c>
      <c r="BE23" s="335">
        <v>43.63</v>
      </c>
      <c r="BF23" s="335">
        <v>42.42</v>
      </c>
      <c r="BG23" s="335">
        <v>42.6</v>
      </c>
      <c r="BH23" s="335">
        <v>30.02</v>
      </c>
      <c r="BI23" s="335">
        <v>77.349999999999994</v>
      </c>
      <c r="BJ23" s="335">
        <v>77.23</v>
      </c>
      <c r="BK23" s="335">
        <v>90.21</v>
      </c>
      <c r="BL23" s="335">
        <v>86.05</v>
      </c>
      <c r="BM23" s="335">
        <v>79.650000000000006</v>
      </c>
      <c r="BN23" s="335">
        <v>79.099999999999994</v>
      </c>
      <c r="BO23" s="335">
        <v>85.73</v>
      </c>
      <c r="BP23" s="335">
        <v>88.33</v>
      </c>
      <c r="BQ23" s="335">
        <v>72.97</v>
      </c>
      <c r="BR23" s="335">
        <v>75.63</v>
      </c>
      <c r="BS23" s="335">
        <v>236.27</v>
      </c>
      <c r="BT23" s="335">
        <v>0</v>
      </c>
      <c r="BU23" s="335">
        <v>274.01</v>
      </c>
      <c r="BV23" s="335">
        <v>255.92</v>
      </c>
      <c r="BW23" s="335">
        <v>0</v>
      </c>
      <c r="BX23" s="335">
        <v>32.340000000000003</v>
      </c>
      <c r="BY23" s="335">
        <v>31.13</v>
      </c>
      <c r="BZ23" s="335">
        <v>304.35000000000002</v>
      </c>
      <c r="CA23" s="335">
        <v>280.25</v>
      </c>
      <c r="CB23" s="335">
        <v>258.73</v>
      </c>
      <c r="CC23" s="335">
        <v>257.58</v>
      </c>
      <c r="CD23" s="335">
        <v>147.44</v>
      </c>
      <c r="CE23" s="335">
        <v>145.22999999999999</v>
      </c>
      <c r="CF23" s="335">
        <v>144.91</v>
      </c>
      <c r="CG23" s="335">
        <v>148</v>
      </c>
      <c r="CH23" s="335">
        <v>-79.58</v>
      </c>
      <c r="CI23" s="335">
        <v>-75.599999999999994</v>
      </c>
      <c r="CJ23" s="335">
        <v>-257.87</v>
      </c>
      <c r="CK23" s="335">
        <v>-245.07</v>
      </c>
      <c r="CL23" s="335">
        <v>32.69</v>
      </c>
      <c r="CM23" s="335">
        <v>33.93</v>
      </c>
      <c r="CN23" s="335">
        <v>267.06</v>
      </c>
      <c r="CO23" s="335">
        <v>269.07</v>
      </c>
      <c r="CP23" s="335">
        <v>42.74</v>
      </c>
      <c r="CQ23" s="335">
        <v>39.880000000000003</v>
      </c>
      <c r="CR23" s="335">
        <v>41.33</v>
      </c>
      <c r="CS23" s="335">
        <v>41.51</v>
      </c>
      <c r="CT23" s="335">
        <v>38.75</v>
      </c>
      <c r="CU23" s="335">
        <v>271.13</v>
      </c>
      <c r="CV23" s="335">
        <v>406.16</v>
      </c>
      <c r="CW23" s="335">
        <v>695.81</v>
      </c>
      <c r="CX23" s="335">
        <v>539.19000000000005</v>
      </c>
      <c r="CY23" s="335">
        <v>149.41999999999999</v>
      </c>
      <c r="CZ23" s="335">
        <v>345.68</v>
      </c>
      <c r="DA23" s="335">
        <v>38.159999999999997</v>
      </c>
      <c r="DB23" s="335">
        <v>541.11</v>
      </c>
      <c r="DC23" s="335">
        <v>539.85</v>
      </c>
      <c r="DD23" s="335">
        <v>36</v>
      </c>
      <c r="DE23" s="335">
        <v>0.10630000000000001</v>
      </c>
      <c r="DF23" s="335">
        <v>207.29</v>
      </c>
      <c r="DG23" s="335">
        <v>171.47</v>
      </c>
      <c r="DH23" s="335">
        <v>344.32</v>
      </c>
      <c r="DI23" s="335">
        <v>38.21</v>
      </c>
      <c r="DJ23" s="335">
        <v>214.06</v>
      </c>
      <c r="DK23" s="335">
        <v>36.01</v>
      </c>
      <c r="DL23" s="335">
        <v>36.119999999999997</v>
      </c>
      <c r="DM23" s="335">
        <v>45.18</v>
      </c>
      <c r="DN23" s="335">
        <v>44.87</v>
      </c>
      <c r="DO23" s="335">
        <v>539.19000000000005</v>
      </c>
      <c r="DP23" s="335">
        <v>538.73</v>
      </c>
      <c r="DQ23" s="335">
        <v>539.36</v>
      </c>
      <c r="DR23" s="335">
        <v>537.23</v>
      </c>
      <c r="DS23" s="335">
        <v>148.06</v>
      </c>
      <c r="DT23" s="335">
        <v>147.71</v>
      </c>
      <c r="DU23" s="335">
        <v>36.130000000000003</v>
      </c>
      <c r="DV23" s="335">
        <v>540.75</v>
      </c>
      <c r="DW23" s="335">
        <v>539.41</v>
      </c>
      <c r="DX23" s="335">
        <v>539.85</v>
      </c>
    </row>
    <row r="24" spans="1:128" x14ac:dyDescent="0.25">
      <c r="A24" s="328" t="s">
        <v>1495</v>
      </c>
      <c r="B24" s="335">
        <v>832.77</v>
      </c>
      <c r="C24" s="335">
        <v>0</v>
      </c>
      <c r="D24" s="335">
        <v>798.25</v>
      </c>
      <c r="E24" s="335">
        <v>25.93</v>
      </c>
      <c r="F24" s="335">
        <v>166.87</v>
      </c>
      <c r="G24" s="335">
        <v>247.48</v>
      </c>
      <c r="H24" s="335">
        <v>33.08</v>
      </c>
      <c r="I24" s="335">
        <v>15.4</v>
      </c>
      <c r="J24" s="335">
        <v>31.05</v>
      </c>
      <c r="K24" s="335">
        <v>18.010000000000002</v>
      </c>
      <c r="L24" s="335">
        <v>0</v>
      </c>
      <c r="M24" s="335">
        <v>247.29896500000001</v>
      </c>
      <c r="N24" s="335">
        <v>168.79</v>
      </c>
      <c r="O24" s="335">
        <v>247.54</v>
      </c>
      <c r="P24" s="335">
        <v>247.17</v>
      </c>
      <c r="Q24" s="335">
        <v>169.88</v>
      </c>
      <c r="R24" s="335">
        <v>250.49</v>
      </c>
      <c r="S24" s="335">
        <v>1.27</v>
      </c>
      <c r="T24" s="335">
        <v>1.28</v>
      </c>
      <c r="U24" s="335">
        <v>167.02</v>
      </c>
      <c r="V24" s="335">
        <v>302.62</v>
      </c>
      <c r="W24" s="335">
        <v>302.67</v>
      </c>
      <c r="X24" s="335">
        <v>405.45107999999999</v>
      </c>
      <c r="Y24" s="335">
        <v>0</v>
      </c>
      <c r="Z24" s="335">
        <v>0</v>
      </c>
      <c r="AA24" s="335">
        <v>405.52</v>
      </c>
      <c r="AB24" s="335">
        <v>408.74</v>
      </c>
      <c r="AC24" s="335">
        <v>355.84</v>
      </c>
      <c r="AD24" s="335">
        <v>338.69</v>
      </c>
      <c r="AE24" s="335">
        <v>-47.08</v>
      </c>
      <c r="AF24" s="335">
        <v>-49.69</v>
      </c>
      <c r="AG24" s="335">
        <v>-73.3</v>
      </c>
      <c r="AH24" s="335">
        <v>-74.17</v>
      </c>
      <c r="AI24" s="335">
        <v>163.84</v>
      </c>
      <c r="AJ24" s="335">
        <v>150.56</v>
      </c>
      <c r="AK24" s="335">
        <v>539.41</v>
      </c>
      <c r="AL24" s="335">
        <v>36.32</v>
      </c>
      <c r="AM24" s="335">
        <v>541.75</v>
      </c>
      <c r="AN24" s="335">
        <v>541.78</v>
      </c>
      <c r="AO24" s="335">
        <v>2.57</v>
      </c>
      <c r="AP24" s="335">
        <v>2.5299999999999998</v>
      </c>
      <c r="AQ24" s="335">
        <v>0</v>
      </c>
      <c r="AR24" s="335">
        <v>6.14</v>
      </c>
      <c r="AS24" s="335">
        <v>39.79</v>
      </c>
      <c r="AT24" s="335">
        <v>38.89</v>
      </c>
      <c r="AU24" s="335">
        <v>297.07</v>
      </c>
      <c r="AV24" s="335">
        <v>289.32</v>
      </c>
      <c r="AW24" s="335">
        <v>954.62</v>
      </c>
      <c r="AX24" s="335">
        <v>961.89</v>
      </c>
      <c r="AY24" s="335">
        <v>809.37</v>
      </c>
      <c r="AZ24" s="335">
        <v>825.91</v>
      </c>
      <c r="BA24" s="335">
        <v>104.15</v>
      </c>
      <c r="BB24" s="335">
        <v>102.57</v>
      </c>
      <c r="BC24" s="335">
        <v>201.63</v>
      </c>
      <c r="BD24" s="335">
        <v>42.9</v>
      </c>
      <c r="BE24" s="335">
        <v>43.63</v>
      </c>
      <c r="BF24" s="335">
        <v>42.42</v>
      </c>
      <c r="BG24" s="335">
        <v>42.61</v>
      </c>
      <c r="BH24" s="335">
        <v>30.02</v>
      </c>
      <c r="BI24" s="335">
        <v>77.89</v>
      </c>
      <c r="BJ24" s="335">
        <v>77.81</v>
      </c>
      <c r="BK24" s="335">
        <v>90.56</v>
      </c>
      <c r="BL24" s="335">
        <v>86.51</v>
      </c>
      <c r="BM24" s="335">
        <v>79.69</v>
      </c>
      <c r="BN24" s="335">
        <v>79.099999999999994</v>
      </c>
      <c r="BO24" s="335">
        <v>85.86</v>
      </c>
      <c r="BP24" s="335">
        <v>88.47</v>
      </c>
      <c r="BQ24" s="335">
        <v>72.97</v>
      </c>
      <c r="BR24" s="335">
        <v>75.739999999999995</v>
      </c>
      <c r="BS24" s="335">
        <v>236.27</v>
      </c>
      <c r="BT24" s="335">
        <v>0</v>
      </c>
      <c r="BU24" s="335">
        <v>274.01</v>
      </c>
      <c r="BV24" s="335">
        <v>255.92</v>
      </c>
      <c r="BW24" s="335">
        <v>0</v>
      </c>
      <c r="BX24" s="335">
        <v>32.340000000000003</v>
      </c>
      <c r="BY24" s="335">
        <v>31.13</v>
      </c>
      <c r="BZ24" s="335">
        <v>304.35000000000002</v>
      </c>
      <c r="CA24" s="335">
        <v>280.25</v>
      </c>
      <c r="CB24" s="335">
        <v>258.37</v>
      </c>
      <c r="CC24" s="335">
        <v>257.16000000000003</v>
      </c>
      <c r="CD24" s="335">
        <v>147.22999999999999</v>
      </c>
      <c r="CE24" s="335">
        <v>144.97999999999999</v>
      </c>
      <c r="CF24" s="335">
        <v>144.91</v>
      </c>
      <c r="CG24" s="335">
        <v>148</v>
      </c>
      <c r="CH24" s="335">
        <v>-79.86</v>
      </c>
      <c r="CI24" s="335">
        <v>-75.62</v>
      </c>
      <c r="CJ24" s="335">
        <v>-257.61</v>
      </c>
      <c r="CK24" s="335">
        <v>-244.64</v>
      </c>
      <c r="CL24" s="335">
        <v>32.69</v>
      </c>
      <c r="CM24" s="335">
        <v>33.93</v>
      </c>
      <c r="CN24" s="335">
        <v>266.64</v>
      </c>
      <c r="CO24" s="335">
        <v>268.98</v>
      </c>
      <c r="CP24" s="335">
        <v>42.99</v>
      </c>
      <c r="CQ24" s="335">
        <v>39.909999999999997</v>
      </c>
      <c r="CR24" s="335">
        <v>41.33</v>
      </c>
      <c r="CS24" s="335">
        <v>41.43</v>
      </c>
      <c r="CT24" s="335">
        <v>38.67</v>
      </c>
      <c r="CU24" s="335">
        <v>270.95999999999998</v>
      </c>
      <c r="CV24" s="335">
        <v>407.32</v>
      </c>
      <c r="CW24" s="335">
        <v>695.49</v>
      </c>
      <c r="CX24" s="335">
        <v>538.35</v>
      </c>
      <c r="CY24" s="335">
        <v>149.22999999999999</v>
      </c>
      <c r="CZ24" s="335">
        <v>345.19</v>
      </c>
      <c r="DA24" s="335">
        <v>38.159999999999997</v>
      </c>
      <c r="DB24" s="335">
        <v>540.57000000000005</v>
      </c>
      <c r="DC24" s="335">
        <v>539.74</v>
      </c>
      <c r="DD24" s="335">
        <v>36</v>
      </c>
      <c r="DE24" s="335">
        <v>0.10630000000000001</v>
      </c>
      <c r="DF24" s="335">
        <v>207.29</v>
      </c>
      <c r="DG24" s="335">
        <v>171.3</v>
      </c>
      <c r="DH24" s="335">
        <v>344.32</v>
      </c>
      <c r="DI24" s="335">
        <v>38.21</v>
      </c>
      <c r="DJ24" s="335">
        <v>214.06</v>
      </c>
      <c r="DK24" s="335">
        <v>36.01</v>
      </c>
      <c r="DL24" s="335">
        <v>36.119999999999997</v>
      </c>
      <c r="DM24" s="335">
        <v>45.18</v>
      </c>
      <c r="DN24" s="335">
        <v>44.87</v>
      </c>
      <c r="DO24" s="335">
        <v>538.35</v>
      </c>
      <c r="DP24" s="335">
        <v>537.84</v>
      </c>
      <c r="DQ24" s="335">
        <v>538.5</v>
      </c>
      <c r="DR24" s="335">
        <v>536.36</v>
      </c>
      <c r="DS24" s="335">
        <v>147.87</v>
      </c>
      <c r="DT24" s="335">
        <v>147.51</v>
      </c>
      <c r="DU24" s="335">
        <v>36.130000000000003</v>
      </c>
      <c r="DV24" s="335">
        <v>540.61</v>
      </c>
      <c r="DW24" s="335">
        <v>539.27</v>
      </c>
      <c r="DX24" s="335">
        <v>539.28</v>
      </c>
    </row>
    <row r="25" spans="1:128" x14ac:dyDescent="0.25">
      <c r="A25" s="328" t="s">
        <v>1496</v>
      </c>
      <c r="B25" s="335">
        <v>830.82</v>
      </c>
      <c r="C25" s="335">
        <v>0</v>
      </c>
      <c r="D25" s="335">
        <v>796</v>
      </c>
      <c r="E25" s="335">
        <v>25.93</v>
      </c>
      <c r="F25" s="335">
        <v>166.09</v>
      </c>
      <c r="G25" s="335">
        <v>247.48</v>
      </c>
      <c r="H25" s="335">
        <v>33.270000000000003</v>
      </c>
      <c r="I25" s="335">
        <v>15.72</v>
      </c>
      <c r="J25" s="335">
        <v>31.04</v>
      </c>
      <c r="K25" s="335">
        <v>18.010000000000002</v>
      </c>
      <c r="L25" s="335">
        <v>0</v>
      </c>
      <c r="M25" s="335">
        <v>247.29896500000001</v>
      </c>
      <c r="N25" s="335">
        <v>168.07</v>
      </c>
      <c r="O25" s="335">
        <v>247.54</v>
      </c>
      <c r="P25" s="335">
        <v>247.17</v>
      </c>
      <c r="Q25" s="335">
        <v>169.14</v>
      </c>
      <c r="R25" s="335">
        <v>250.49</v>
      </c>
      <c r="S25" s="335">
        <v>1.27</v>
      </c>
      <c r="T25" s="335">
        <v>1.28</v>
      </c>
      <c r="U25" s="335">
        <v>166.27</v>
      </c>
      <c r="V25" s="335">
        <v>302.62</v>
      </c>
      <c r="W25" s="335">
        <v>302.67</v>
      </c>
      <c r="X25" s="335">
        <v>405.45107999999999</v>
      </c>
      <c r="Y25" s="335">
        <v>0</v>
      </c>
      <c r="Z25" s="335">
        <v>0</v>
      </c>
      <c r="AA25" s="335">
        <v>405.45</v>
      </c>
      <c r="AB25" s="335">
        <v>408.74</v>
      </c>
      <c r="AC25" s="335">
        <v>355.41</v>
      </c>
      <c r="AD25" s="335">
        <v>338.69</v>
      </c>
      <c r="AE25" s="335">
        <v>-46.85</v>
      </c>
      <c r="AF25" s="335">
        <v>-50.34</v>
      </c>
      <c r="AG25" s="335">
        <v>-73.22</v>
      </c>
      <c r="AH25" s="335">
        <v>-73.95</v>
      </c>
      <c r="AI25" s="335">
        <v>163.05000000000001</v>
      </c>
      <c r="AJ25" s="335">
        <v>149.83000000000001</v>
      </c>
      <c r="AK25" s="335">
        <v>540.14</v>
      </c>
      <c r="AL25" s="335">
        <v>36.32</v>
      </c>
      <c r="AM25" s="335">
        <v>541.41</v>
      </c>
      <c r="AN25" s="335">
        <v>541.4</v>
      </c>
      <c r="AO25" s="335">
        <v>2.5499999999999998</v>
      </c>
      <c r="AP25" s="335">
        <v>2.52</v>
      </c>
      <c r="AQ25" s="335">
        <v>0</v>
      </c>
      <c r="AR25" s="335">
        <v>6.14</v>
      </c>
      <c r="AS25" s="335">
        <v>39.79</v>
      </c>
      <c r="AT25" s="335">
        <v>38.89</v>
      </c>
      <c r="AU25" s="335">
        <v>297.07</v>
      </c>
      <c r="AV25" s="335">
        <v>288.98</v>
      </c>
      <c r="AW25" s="335">
        <v>956.38</v>
      </c>
      <c r="AX25" s="335">
        <v>963.63</v>
      </c>
      <c r="AY25" s="335">
        <v>810.79</v>
      </c>
      <c r="AZ25" s="335">
        <v>827.44</v>
      </c>
      <c r="BA25" s="335">
        <v>104.17</v>
      </c>
      <c r="BB25" s="335">
        <v>102.78</v>
      </c>
      <c r="BC25" s="335">
        <v>201.66</v>
      </c>
      <c r="BD25" s="335">
        <v>42.9</v>
      </c>
      <c r="BE25" s="335">
        <v>43.63</v>
      </c>
      <c r="BF25" s="335">
        <v>42.42</v>
      </c>
      <c r="BG25" s="335">
        <v>42.66</v>
      </c>
      <c r="BH25" s="335">
        <v>30.02</v>
      </c>
      <c r="BI25" s="335">
        <v>77.92</v>
      </c>
      <c r="BJ25" s="335">
        <v>77.83</v>
      </c>
      <c r="BK25" s="335">
        <v>90.32</v>
      </c>
      <c r="BL25" s="335">
        <v>86.3</v>
      </c>
      <c r="BM25" s="335">
        <v>79.989999999999995</v>
      </c>
      <c r="BN25" s="335">
        <v>79.400000000000006</v>
      </c>
      <c r="BO25" s="335">
        <v>85.86</v>
      </c>
      <c r="BP25" s="335">
        <v>88.55</v>
      </c>
      <c r="BQ25" s="335">
        <v>72.97</v>
      </c>
      <c r="BR25" s="335">
        <v>75.739999999999995</v>
      </c>
      <c r="BS25" s="335">
        <v>236.27</v>
      </c>
      <c r="BT25" s="335">
        <v>0</v>
      </c>
      <c r="BU25" s="335">
        <v>274.01</v>
      </c>
      <c r="BV25" s="335">
        <v>255.92</v>
      </c>
      <c r="BW25" s="335">
        <v>0</v>
      </c>
      <c r="BX25" s="335">
        <v>32.340000000000003</v>
      </c>
      <c r="BY25" s="335">
        <v>31.13</v>
      </c>
      <c r="BZ25" s="335">
        <v>304.35000000000002</v>
      </c>
      <c r="CA25" s="335">
        <v>280.25</v>
      </c>
      <c r="CB25" s="335">
        <v>258.39999999999998</v>
      </c>
      <c r="CC25" s="335">
        <v>257.23</v>
      </c>
      <c r="CD25" s="335">
        <v>147.41999999999999</v>
      </c>
      <c r="CE25" s="335">
        <v>145.22999999999999</v>
      </c>
      <c r="CF25" s="335">
        <v>144.88</v>
      </c>
      <c r="CG25" s="335">
        <v>148</v>
      </c>
      <c r="CH25" s="335">
        <v>-79.900000000000006</v>
      </c>
      <c r="CI25" s="335">
        <v>-75.3</v>
      </c>
      <c r="CJ25" s="335">
        <v>-257.3</v>
      </c>
      <c r="CK25" s="335">
        <v>-244.36</v>
      </c>
      <c r="CL25" s="335">
        <v>32.69</v>
      </c>
      <c r="CM25" s="335">
        <v>33.93</v>
      </c>
      <c r="CN25" s="335">
        <v>266.58999999999997</v>
      </c>
      <c r="CO25" s="335">
        <v>269.24</v>
      </c>
      <c r="CP25" s="335">
        <v>42.94</v>
      </c>
      <c r="CQ25" s="335">
        <v>39.799999999999997</v>
      </c>
      <c r="CR25" s="335">
        <v>41.33</v>
      </c>
      <c r="CS25" s="335">
        <v>41.52</v>
      </c>
      <c r="CT25" s="335">
        <v>38.729999999999997</v>
      </c>
      <c r="CU25" s="335">
        <v>270.12</v>
      </c>
      <c r="CV25" s="335">
        <v>407.67</v>
      </c>
      <c r="CW25" s="335">
        <v>694.68</v>
      </c>
      <c r="CX25" s="335">
        <v>538.76</v>
      </c>
      <c r="CY25" s="335">
        <v>148.47</v>
      </c>
      <c r="CZ25" s="335">
        <v>345.38</v>
      </c>
      <c r="DA25" s="335">
        <v>38.159999999999997</v>
      </c>
      <c r="DB25" s="335">
        <v>540.12</v>
      </c>
      <c r="DC25" s="335">
        <v>539.35</v>
      </c>
      <c r="DD25" s="335">
        <v>36</v>
      </c>
      <c r="DE25" s="335">
        <v>0.10630000000000001</v>
      </c>
      <c r="DF25" s="335">
        <v>207.29</v>
      </c>
      <c r="DG25" s="335">
        <v>170.56</v>
      </c>
      <c r="DH25" s="335">
        <v>344.37</v>
      </c>
      <c r="DI25" s="335">
        <v>38.21</v>
      </c>
      <c r="DJ25" s="335">
        <v>214.06</v>
      </c>
      <c r="DK25" s="335">
        <v>36.01</v>
      </c>
      <c r="DL25" s="335">
        <v>36.119999999999997</v>
      </c>
      <c r="DM25" s="335">
        <v>45.18</v>
      </c>
      <c r="DN25" s="335">
        <v>44.87</v>
      </c>
      <c r="DO25" s="335">
        <v>538.76</v>
      </c>
      <c r="DP25" s="335">
        <v>538.33000000000004</v>
      </c>
      <c r="DQ25" s="335">
        <v>538.94000000000005</v>
      </c>
      <c r="DR25" s="335">
        <v>537.01</v>
      </c>
      <c r="DS25" s="335">
        <v>147.07</v>
      </c>
      <c r="DT25" s="335">
        <v>146.71</v>
      </c>
      <c r="DU25" s="335">
        <v>36.130000000000003</v>
      </c>
      <c r="DV25" s="335">
        <v>540.19000000000005</v>
      </c>
      <c r="DW25" s="335">
        <v>538.92999999999995</v>
      </c>
      <c r="DX25" s="335">
        <v>538.89</v>
      </c>
    </row>
    <row r="26" spans="1:128" x14ac:dyDescent="0.25">
      <c r="A26" s="328" t="s">
        <v>1497</v>
      </c>
      <c r="B26" s="335">
        <v>828.8</v>
      </c>
      <c r="C26" s="335">
        <v>0</v>
      </c>
      <c r="D26" s="335">
        <v>796.83</v>
      </c>
      <c r="E26" s="335">
        <v>25.93</v>
      </c>
      <c r="F26" s="335">
        <v>166.28</v>
      </c>
      <c r="G26" s="335">
        <v>247.48</v>
      </c>
      <c r="H26" s="335">
        <v>36.130000000000003</v>
      </c>
      <c r="I26" s="335">
        <v>16.39</v>
      </c>
      <c r="J26" s="335">
        <v>33.049999999999997</v>
      </c>
      <c r="K26" s="335">
        <v>18.010000000000002</v>
      </c>
      <c r="L26" s="335">
        <v>0</v>
      </c>
      <c r="M26" s="335">
        <v>247.29896500000001</v>
      </c>
      <c r="N26" s="335">
        <v>168.18</v>
      </c>
      <c r="O26" s="335">
        <v>247.54</v>
      </c>
      <c r="P26" s="335">
        <v>247.17</v>
      </c>
      <c r="Q26" s="335">
        <v>169.26</v>
      </c>
      <c r="R26" s="335">
        <v>250.49</v>
      </c>
      <c r="S26" s="335">
        <v>1.27</v>
      </c>
      <c r="T26" s="335">
        <v>1.28</v>
      </c>
      <c r="U26" s="335">
        <v>166.44</v>
      </c>
      <c r="V26" s="335">
        <v>302.74</v>
      </c>
      <c r="W26" s="335">
        <v>302.67</v>
      </c>
      <c r="X26" s="335">
        <v>405.45107999999999</v>
      </c>
      <c r="Y26" s="335">
        <v>0</v>
      </c>
      <c r="Z26" s="335">
        <v>0</v>
      </c>
      <c r="AA26" s="335">
        <v>405.45</v>
      </c>
      <c r="AB26" s="335">
        <v>408.74</v>
      </c>
      <c r="AC26" s="335">
        <v>355.41</v>
      </c>
      <c r="AD26" s="335">
        <v>338.69</v>
      </c>
      <c r="AE26" s="335">
        <v>-46.8</v>
      </c>
      <c r="AF26" s="335">
        <v>-50.74</v>
      </c>
      <c r="AG26" s="335">
        <v>-73.19</v>
      </c>
      <c r="AH26" s="335">
        <v>-73.760000000000005</v>
      </c>
      <c r="AI26" s="335">
        <v>163.27000000000001</v>
      </c>
      <c r="AJ26" s="335">
        <v>150.07</v>
      </c>
      <c r="AK26" s="335">
        <v>540.95000000000005</v>
      </c>
      <c r="AL26" s="335">
        <v>36.32</v>
      </c>
      <c r="AM26" s="335">
        <v>542.70000000000005</v>
      </c>
      <c r="AN26" s="335">
        <v>542.73</v>
      </c>
      <c r="AO26" s="335">
        <v>2.4900000000000002</v>
      </c>
      <c r="AP26" s="335">
        <v>2.4900000000000002</v>
      </c>
      <c r="AQ26" s="335">
        <v>0</v>
      </c>
      <c r="AR26" s="335">
        <v>6.14</v>
      </c>
      <c r="AS26" s="335">
        <v>39.79</v>
      </c>
      <c r="AT26" s="335">
        <v>38.89</v>
      </c>
      <c r="AU26" s="335">
        <v>297.07</v>
      </c>
      <c r="AV26" s="335">
        <v>288.98</v>
      </c>
      <c r="AW26" s="335">
        <v>956.98</v>
      </c>
      <c r="AX26" s="335">
        <v>964.42</v>
      </c>
      <c r="AY26" s="335">
        <v>811.34</v>
      </c>
      <c r="AZ26" s="335">
        <v>828.17</v>
      </c>
      <c r="BA26" s="335">
        <v>103.77</v>
      </c>
      <c r="BB26" s="335">
        <v>102.84</v>
      </c>
      <c r="BC26" s="335">
        <v>201.66</v>
      </c>
      <c r="BD26" s="335">
        <v>42.9</v>
      </c>
      <c r="BE26" s="335">
        <v>43.63</v>
      </c>
      <c r="BF26" s="335">
        <v>42.42</v>
      </c>
      <c r="BG26" s="335">
        <v>42.66</v>
      </c>
      <c r="BH26" s="335">
        <v>30.02</v>
      </c>
      <c r="BI26" s="335">
        <v>77.8</v>
      </c>
      <c r="BJ26" s="335">
        <v>77.72</v>
      </c>
      <c r="BK26" s="335">
        <v>90.35</v>
      </c>
      <c r="BL26" s="335">
        <v>86.3</v>
      </c>
      <c r="BM26" s="335">
        <v>79.790000000000006</v>
      </c>
      <c r="BN26" s="335">
        <v>79.3</v>
      </c>
      <c r="BO26" s="335">
        <v>85.7</v>
      </c>
      <c r="BP26" s="335">
        <v>88.4</v>
      </c>
      <c r="BQ26" s="335">
        <v>72.97</v>
      </c>
      <c r="BR26" s="335">
        <v>75.739999999999995</v>
      </c>
      <c r="BS26" s="335">
        <v>236.5</v>
      </c>
      <c r="BT26" s="335">
        <v>0</v>
      </c>
      <c r="BU26" s="335">
        <v>274.01</v>
      </c>
      <c r="BV26" s="335">
        <v>255.92</v>
      </c>
      <c r="BW26" s="335">
        <v>0</v>
      </c>
      <c r="BX26" s="335">
        <v>32.340000000000003</v>
      </c>
      <c r="BY26" s="335">
        <v>31.13</v>
      </c>
      <c r="BZ26" s="335">
        <v>304.35000000000002</v>
      </c>
      <c r="CA26" s="335">
        <v>280.25</v>
      </c>
      <c r="CB26" s="335">
        <v>258.49</v>
      </c>
      <c r="CC26" s="335">
        <v>257.24</v>
      </c>
      <c r="CD26" s="335">
        <v>147.51</v>
      </c>
      <c r="CE26" s="335">
        <v>145.38</v>
      </c>
      <c r="CF26" s="335">
        <v>144.38</v>
      </c>
      <c r="CG26" s="335">
        <v>148</v>
      </c>
      <c r="CH26" s="335">
        <v>-80.33</v>
      </c>
      <c r="CI26" s="335">
        <v>-74.989999999999995</v>
      </c>
      <c r="CJ26" s="335">
        <v>-257.39999999999998</v>
      </c>
      <c r="CK26" s="335">
        <v>-244.22</v>
      </c>
      <c r="CL26" s="335">
        <v>32.69</v>
      </c>
      <c r="CM26" s="335">
        <v>33.93</v>
      </c>
      <c r="CN26" s="335">
        <v>266.61</v>
      </c>
      <c r="CO26" s="335">
        <v>269.31</v>
      </c>
      <c r="CP26" s="335">
        <v>42.85</v>
      </c>
      <c r="CQ26" s="335">
        <v>39.79</v>
      </c>
      <c r="CR26" s="335">
        <v>41.33</v>
      </c>
      <c r="CS26" s="335">
        <v>41.44</v>
      </c>
      <c r="CT26" s="335">
        <v>38.79</v>
      </c>
      <c r="CU26" s="335">
        <v>270.47000000000003</v>
      </c>
      <c r="CV26" s="335">
        <v>407.09</v>
      </c>
      <c r="CW26" s="335">
        <v>694.63</v>
      </c>
      <c r="CX26" s="335">
        <v>539.46</v>
      </c>
      <c r="CY26" s="335">
        <v>148.69999999999999</v>
      </c>
      <c r="CZ26" s="335">
        <v>346.15</v>
      </c>
      <c r="DA26" s="335">
        <v>38.159999999999997</v>
      </c>
      <c r="DB26" s="335">
        <v>540.95000000000005</v>
      </c>
      <c r="DC26" s="335">
        <v>540.17999999999995</v>
      </c>
      <c r="DD26" s="335">
        <v>36</v>
      </c>
      <c r="DE26" s="335">
        <v>0.10630000000000001</v>
      </c>
      <c r="DF26" s="335">
        <v>207.29</v>
      </c>
      <c r="DG26" s="335">
        <v>170.69</v>
      </c>
      <c r="DH26" s="335">
        <v>344.89</v>
      </c>
      <c r="DI26" s="335">
        <v>38.21</v>
      </c>
      <c r="DJ26" s="335">
        <v>214.06</v>
      </c>
      <c r="DK26" s="335">
        <v>36.01</v>
      </c>
      <c r="DL26" s="335">
        <v>36.119999999999997</v>
      </c>
      <c r="DM26" s="335">
        <v>45.18</v>
      </c>
      <c r="DN26" s="335">
        <v>44.87</v>
      </c>
      <c r="DO26" s="335">
        <v>539.46</v>
      </c>
      <c r="DP26" s="335">
        <v>539.14</v>
      </c>
      <c r="DQ26" s="335">
        <v>539.55999999999995</v>
      </c>
      <c r="DR26" s="335">
        <v>537.78</v>
      </c>
      <c r="DS26" s="335">
        <v>147.36000000000001</v>
      </c>
      <c r="DT26" s="335">
        <v>146.99</v>
      </c>
      <c r="DU26" s="335">
        <v>36.130000000000003</v>
      </c>
      <c r="DV26" s="335">
        <v>540.96</v>
      </c>
      <c r="DW26" s="335">
        <v>539.84</v>
      </c>
      <c r="DX26" s="335">
        <v>540.02</v>
      </c>
    </row>
    <row r="27" spans="1:128" x14ac:dyDescent="0.25">
      <c r="A27" s="328" t="s">
        <v>1498</v>
      </c>
      <c r="B27" s="335">
        <v>831.93</v>
      </c>
      <c r="C27" s="335">
        <v>0</v>
      </c>
      <c r="D27" s="335">
        <v>799.71</v>
      </c>
      <c r="E27" s="335">
        <v>25.93</v>
      </c>
      <c r="F27" s="335">
        <v>167.35</v>
      </c>
      <c r="G27" s="335">
        <v>247.48</v>
      </c>
      <c r="H27" s="335">
        <v>34.770000000000003</v>
      </c>
      <c r="I27" s="335">
        <v>15.29</v>
      </c>
      <c r="J27" s="335">
        <v>32.54</v>
      </c>
      <c r="K27" s="335">
        <v>18.010000000000002</v>
      </c>
      <c r="L27" s="335">
        <v>0</v>
      </c>
      <c r="M27" s="335">
        <v>247.29896500000001</v>
      </c>
      <c r="N27" s="335">
        <v>169.25</v>
      </c>
      <c r="O27" s="335">
        <v>247.54</v>
      </c>
      <c r="P27" s="335">
        <v>247.17</v>
      </c>
      <c r="Q27" s="335">
        <v>170.35</v>
      </c>
      <c r="R27" s="335">
        <v>250.49</v>
      </c>
      <c r="S27" s="335">
        <v>1.27</v>
      </c>
      <c r="T27" s="335">
        <v>1.28</v>
      </c>
      <c r="U27" s="335">
        <v>167.44</v>
      </c>
      <c r="V27" s="335">
        <v>303.14999999999998</v>
      </c>
      <c r="W27" s="335">
        <v>302.67</v>
      </c>
      <c r="X27" s="335">
        <v>405.45107999999999</v>
      </c>
      <c r="Y27" s="335">
        <v>0</v>
      </c>
      <c r="Z27" s="335">
        <v>0</v>
      </c>
      <c r="AA27" s="335">
        <v>405.45</v>
      </c>
      <c r="AB27" s="335">
        <v>408.74</v>
      </c>
      <c r="AC27" s="335">
        <v>355.41</v>
      </c>
      <c r="AD27" s="335">
        <v>338.69</v>
      </c>
      <c r="AE27" s="335">
        <v>-46.77</v>
      </c>
      <c r="AF27" s="335">
        <v>-50.36</v>
      </c>
      <c r="AG27" s="335">
        <v>-73.08</v>
      </c>
      <c r="AH27" s="335">
        <v>-73.56</v>
      </c>
      <c r="AI27" s="335">
        <v>164.28</v>
      </c>
      <c r="AJ27" s="335">
        <v>151.07</v>
      </c>
      <c r="AK27" s="335">
        <v>539.69000000000005</v>
      </c>
      <c r="AL27" s="335">
        <v>36.32</v>
      </c>
      <c r="AM27" s="335">
        <v>542.80999999999995</v>
      </c>
      <c r="AN27" s="335">
        <v>542.83000000000004</v>
      </c>
      <c r="AO27" s="335">
        <v>2.4900000000000002</v>
      </c>
      <c r="AP27" s="335">
        <v>2.4500000000000002</v>
      </c>
      <c r="AQ27" s="335">
        <v>0</v>
      </c>
      <c r="AR27" s="335">
        <v>6.14</v>
      </c>
      <c r="AS27" s="335">
        <v>39.79</v>
      </c>
      <c r="AT27" s="335">
        <v>38.89</v>
      </c>
      <c r="AU27" s="335">
        <v>297.07</v>
      </c>
      <c r="AV27" s="335">
        <v>288.98</v>
      </c>
      <c r="AW27" s="335">
        <v>956</v>
      </c>
      <c r="AX27" s="335">
        <v>963.49</v>
      </c>
      <c r="AY27" s="335">
        <v>810.57</v>
      </c>
      <c r="AZ27" s="335">
        <v>827.27</v>
      </c>
      <c r="BA27" s="335">
        <v>103.35</v>
      </c>
      <c r="BB27" s="335">
        <v>102.66</v>
      </c>
      <c r="BC27" s="335">
        <v>201.66</v>
      </c>
      <c r="BD27" s="335">
        <v>42.9</v>
      </c>
      <c r="BE27" s="335">
        <v>43.63</v>
      </c>
      <c r="BF27" s="335">
        <v>42.42</v>
      </c>
      <c r="BG27" s="335">
        <v>42.66</v>
      </c>
      <c r="BH27" s="335">
        <v>30.02</v>
      </c>
      <c r="BI27" s="335">
        <v>77.709999999999994</v>
      </c>
      <c r="BJ27" s="335">
        <v>77.599999999999994</v>
      </c>
      <c r="BK27" s="335">
        <v>90.42</v>
      </c>
      <c r="BL27" s="335">
        <v>86.38</v>
      </c>
      <c r="BM27" s="335">
        <v>80.02</v>
      </c>
      <c r="BN27" s="335">
        <v>79.319999999999993</v>
      </c>
      <c r="BO27" s="335">
        <v>85.8</v>
      </c>
      <c r="BP27" s="335">
        <v>88.35</v>
      </c>
      <c r="BQ27" s="335">
        <v>72.97</v>
      </c>
      <c r="BR27" s="335">
        <v>75.599999999999994</v>
      </c>
      <c r="BS27" s="335">
        <v>236.86</v>
      </c>
      <c r="BT27" s="335">
        <v>0</v>
      </c>
      <c r="BU27" s="335">
        <v>274.01</v>
      </c>
      <c r="BV27" s="335">
        <v>255.92</v>
      </c>
      <c r="BW27" s="335">
        <v>0</v>
      </c>
      <c r="BX27" s="335">
        <v>32.340000000000003</v>
      </c>
      <c r="BY27" s="335">
        <v>31.13</v>
      </c>
      <c r="BZ27" s="335">
        <v>304.35000000000002</v>
      </c>
      <c r="CA27" s="335">
        <v>280.25</v>
      </c>
      <c r="CB27" s="335">
        <v>257.95</v>
      </c>
      <c r="CC27" s="335">
        <v>256.89999999999998</v>
      </c>
      <c r="CD27" s="335">
        <v>147.11000000000001</v>
      </c>
      <c r="CE27" s="335">
        <v>145.05000000000001</v>
      </c>
      <c r="CF27" s="335">
        <v>144.38</v>
      </c>
      <c r="CG27" s="335">
        <v>148</v>
      </c>
      <c r="CH27" s="335">
        <v>-80.260000000000005</v>
      </c>
      <c r="CI27" s="335">
        <v>-74.06</v>
      </c>
      <c r="CJ27" s="335">
        <v>-256.87</v>
      </c>
      <c r="CK27" s="335">
        <v>-243.83</v>
      </c>
      <c r="CL27" s="335">
        <v>32.69</v>
      </c>
      <c r="CM27" s="335">
        <v>33.93</v>
      </c>
      <c r="CN27" s="335">
        <v>266.43</v>
      </c>
      <c r="CO27" s="335">
        <v>269.08</v>
      </c>
      <c r="CP27" s="335">
        <v>42.93</v>
      </c>
      <c r="CQ27" s="335">
        <v>39.799999999999997</v>
      </c>
      <c r="CR27" s="335">
        <v>41.38</v>
      </c>
      <c r="CS27" s="335">
        <v>41.53</v>
      </c>
      <c r="CT27" s="335">
        <v>38.83</v>
      </c>
      <c r="CU27" s="335">
        <v>271.57</v>
      </c>
      <c r="CV27" s="335">
        <v>407.14</v>
      </c>
      <c r="CW27" s="335">
        <v>694.89</v>
      </c>
      <c r="CX27" s="335">
        <v>538.58000000000004</v>
      </c>
      <c r="CY27" s="335">
        <v>149.72</v>
      </c>
      <c r="CZ27" s="335">
        <v>345.51</v>
      </c>
      <c r="DA27" s="335">
        <v>38.159999999999997</v>
      </c>
      <c r="DB27" s="335">
        <v>541.16</v>
      </c>
      <c r="DC27" s="335">
        <v>540.37</v>
      </c>
      <c r="DD27" s="335">
        <v>36</v>
      </c>
      <c r="DE27" s="335">
        <v>0.10630000000000001</v>
      </c>
      <c r="DF27" s="335">
        <v>207.29</v>
      </c>
      <c r="DG27" s="335">
        <v>171.78</v>
      </c>
      <c r="DH27" s="335">
        <v>344.64</v>
      </c>
      <c r="DI27" s="335">
        <v>38.21</v>
      </c>
      <c r="DJ27" s="335">
        <v>214.06</v>
      </c>
      <c r="DK27" s="335">
        <v>36.01</v>
      </c>
      <c r="DL27" s="335">
        <v>36.119999999999997</v>
      </c>
      <c r="DM27" s="335">
        <v>45.18</v>
      </c>
      <c r="DN27" s="335">
        <v>44.87</v>
      </c>
      <c r="DO27" s="335">
        <v>538.58000000000004</v>
      </c>
      <c r="DP27" s="335">
        <v>538.14</v>
      </c>
      <c r="DQ27" s="335">
        <v>538.67999999999995</v>
      </c>
      <c r="DR27" s="335">
        <v>536.67999999999995</v>
      </c>
      <c r="DS27" s="335">
        <v>148.37</v>
      </c>
      <c r="DT27" s="335">
        <v>148.01</v>
      </c>
      <c r="DU27" s="335">
        <v>36.130000000000003</v>
      </c>
      <c r="DV27" s="335">
        <v>541.26</v>
      </c>
      <c r="DW27" s="335">
        <v>540.01</v>
      </c>
      <c r="DX27" s="335">
        <v>540.27</v>
      </c>
    </row>
    <row r="28" spans="1:128" x14ac:dyDescent="0.25">
      <c r="A28" s="328" t="s">
        <v>1499</v>
      </c>
      <c r="B28" s="335">
        <v>834.69</v>
      </c>
      <c r="C28" s="335">
        <v>0</v>
      </c>
      <c r="D28" s="335">
        <v>801.45</v>
      </c>
      <c r="E28" s="335">
        <v>25.93</v>
      </c>
      <c r="F28" s="335">
        <v>167.67</v>
      </c>
      <c r="G28" s="335">
        <v>247.48</v>
      </c>
      <c r="H28" s="335">
        <v>33.68</v>
      </c>
      <c r="I28" s="335">
        <v>15.87</v>
      </c>
      <c r="J28" s="335">
        <v>30.86</v>
      </c>
      <c r="K28" s="335">
        <v>18.010000000000002</v>
      </c>
      <c r="L28" s="335">
        <v>0</v>
      </c>
      <c r="M28" s="335">
        <v>247.29896500000001</v>
      </c>
      <c r="N28" s="335">
        <v>169.47</v>
      </c>
      <c r="O28" s="335">
        <v>247.54</v>
      </c>
      <c r="P28" s="335">
        <v>247.17</v>
      </c>
      <c r="Q28" s="335">
        <v>170.59</v>
      </c>
      <c r="R28" s="335">
        <v>250.49</v>
      </c>
      <c r="S28" s="335">
        <v>1.27</v>
      </c>
      <c r="T28" s="335">
        <v>1.28</v>
      </c>
      <c r="U28" s="335">
        <v>167.65</v>
      </c>
      <c r="V28" s="335">
        <v>303.14999999999998</v>
      </c>
      <c r="W28" s="335">
        <v>302.67</v>
      </c>
      <c r="X28" s="335">
        <v>405.45107999999999</v>
      </c>
      <c r="Y28" s="335">
        <v>0</v>
      </c>
      <c r="Z28" s="335">
        <v>0</v>
      </c>
      <c r="AA28" s="335">
        <v>405.45</v>
      </c>
      <c r="AB28" s="335">
        <v>408.74</v>
      </c>
      <c r="AC28" s="335">
        <v>355.41</v>
      </c>
      <c r="AD28" s="335">
        <v>338.69</v>
      </c>
      <c r="AE28" s="335">
        <v>-46.35</v>
      </c>
      <c r="AF28" s="335">
        <v>-50.07</v>
      </c>
      <c r="AG28" s="335">
        <v>-72.72</v>
      </c>
      <c r="AH28" s="335">
        <v>-72.94</v>
      </c>
      <c r="AI28" s="335">
        <v>164.49</v>
      </c>
      <c r="AJ28" s="335">
        <v>151.30000000000001</v>
      </c>
      <c r="AK28" s="335">
        <v>539.70000000000005</v>
      </c>
      <c r="AL28" s="335">
        <v>36.32</v>
      </c>
      <c r="AM28" s="335">
        <v>541.99</v>
      </c>
      <c r="AN28" s="335">
        <v>542.46</v>
      </c>
      <c r="AO28" s="335">
        <v>2.48</v>
      </c>
      <c r="AP28" s="335">
        <v>2.4300000000000002</v>
      </c>
      <c r="AQ28" s="335">
        <v>0</v>
      </c>
      <c r="AR28" s="335">
        <v>6.14</v>
      </c>
      <c r="AS28" s="335">
        <v>39.79</v>
      </c>
      <c r="AT28" s="335">
        <v>38.89</v>
      </c>
      <c r="AU28" s="335">
        <v>297.07</v>
      </c>
      <c r="AV28" s="335">
        <v>288.98</v>
      </c>
      <c r="AW28" s="335">
        <v>957.5</v>
      </c>
      <c r="AX28" s="335">
        <v>965.01</v>
      </c>
      <c r="AY28" s="335">
        <v>812.33</v>
      </c>
      <c r="AZ28" s="335">
        <v>829.15</v>
      </c>
      <c r="BA28" s="335">
        <v>103.32</v>
      </c>
      <c r="BB28" s="335">
        <v>102.48</v>
      </c>
      <c r="BC28" s="335">
        <v>201.76</v>
      </c>
      <c r="BD28" s="335">
        <v>42.9</v>
      </c>
      <c r="BE28" s="335">
        <v>43.63</v>
      </c>
      <c r="BF28" s="335">
        <v>42.42</v>
      </c>
      <c r="BG28" s="335">
        <v>42.66</v>
      </c>
      <c r="BH28" s="335">
        <v>30.02</v>
      </c>
      <c r="BI28" s="335">
        <v>76.819999999999993</v>
      </c>
      <c r="BJ28" s="335">
        <v>76.69</v>
      </c>
      <c r="BK28" s="335">
        <v>90.4</v>
      </c>
      <c r="BL28" s="335">
        <v>86.35</v>
      </c>
      <c r="BM28" s="335">
        <v>80.040000000000006</v>
      </c>
      <c r="BN28" s="335">
        <v>79.44</v>
      </c>
      <c r="BO28" s="335">
        <v>86.05</v>
      </c>
      <c r="BP28" s="335">
        <v>88.34</v>
      </c>
      <c r="BQ28" s="335">
        <v>72.97</v>
      </c>
      <c r="BR28" s="335">
        <v>75.790000000000006</v>
      </c>
      <c r="BS28" s="335">
        <v>236.86</v>
      </c>
      <c r="BT28" s="335">
        <v>0</v>
      </c>
      <c r="BU28" s="335">
        <v>274.01</v>
      </c>
      <c r="BV28" s="335">
        <v>255.92</v>
      </c>
      <c r="BW28" s="335">
        <v>0</v>
      </c>
      <c r="BX28" s="335">
        <v>32.340000000000003</v>
      </c>
      <c r="BY28" s="335">
        <v>31.13</v>
      </c>
      <c r="BZ28" s="335">
        <v>304.35000000000002</v>
      </c>
      <c r="CA28" s="335">
        <v>280.25</v>
      </c>
      <c r="CB28" s="335">
        <v>258.74</v>
      </c>
      <c r="CC28" s="335">
        <v>257.48</v>
      </c>
      <c r="CD28" s="335">
        <v>147.66</v>
      </c>
      <c r="CE28" s="335">
        <v>145.51</v>
      </c>
      <c r="CF28" s="335">
        <v>144.38</v>
      </c>
      <c r="CG28" s="335">
        <v>148</v>
      </c>
      <c r="CH28" s="335">
        <v>-79.72</v>
      </c>
      <c r="CI28" s="335">
        <v>-74.12</v>
      </c>
      <c r="CJ28" s="335">
        <v>-256.27999999999997</v>
      </c>
      <c r="CK28" s="335">
        <v>-243.54</v>
      </c>
      <c r="CL28" s="335">
        <v>32.69</v>
      </c>
      <c r="CM28" s="335">
        <v>34.15</v>
      </c>
      <c r="CN28" s="335">
        <v>267.08999999999997</v>
      </c>
      <c r="CO28" s="335">
        <v>269.37</v>
      </c>
      <c r="CP28" s="335">
        <v>42.93</v>
      </c>
      <c r="CQ28" s="335">
        <v>39.840000000000003</v>
      </c>
      <c r="CR28" s="335">
        <v>41.41</v>
      </c>
      <c r="CS28" s="335">
        <v>41.5</v>
      </c>
      <c r="CT28" s="335">
        <v>38.729999999999997</v>
      </c>
      <c r="CU28" s="335">
        <v>271.66000000000003</v>
      </c>
      <c r="CV28" s="335">
        <v>406.51</v>
      </c>
      <c r="CW28" s="335">
        <v>693.58</v>
      </c>
      <c r="CX28" s="335">
        <v>538.46</v>
      </c>
      <c r="CY28" s="335">
        <v>149.93</v>
      </c>
      <c r="CZ28" s="335">
        <v>345.11</v>
      </c>
      <c r="DA28" s="335">
        <v>38.159999999999997</v>
      </c>
      <c r="DB28" s="335">
        <v>541.16</v>
      </c>
      <c r="DC28" s="335">
        <v>540.37</v>
      </c>
      <c r="DD28" s="335">
        <v>36</v>
      </c>
      <c r="DE28" s="335">
        <v>0.10630000000000001</v>
      </c>
      <c r="DF28" s="335">
        <v>207.29</v>
      </c>
      <c r="DG28" s="335">
        <v>172.02</v>
      </c>
      <c r="DH28" s="335">
        <v>343.83</v>
      </c>
      <c r="DI28" s="335">
        <v>38.21</v>
      </c>
      <c r="DJ28" s="335">
        <v>214.06</v>
      </c>
      <c r="DK28" s="335">
        <v>36.01</v>
      </c>
      <c r="DL28" s="335">
        <v>36.119999999999997</v>
      </c>
      <c r="DM28" s="335">
        <v>45.18</v>
      </c>
      <c r="DN28" s="335">
        <v>44.87</v>
      </c>
      <c r="DO28" s="335">
        <v>538.46</v>
      </c>
      <c r="DP28" s="335">
        <v>538.05999999999995</v>
      </c>
      <c r="DQ28" s="335">
        <v>538.53</v>
      </c>
      <c r="DR28" s="335">
        <v>536.58000000000004</v>
      </c>
      <c r="DS28" s="335">
        <v>148.54</v>
      </c>
      <c r="DT28" s="335">
        <v>148.18</v>
      </c>
      <c r="DU28" s="335">
        <v>36.130000000000003</v>
      </c>
      <c r="DV28" s="335">
        <v>541.16</v>
      </c>
      <c r="DW28" s="335">
        <v>540.01</v>
      </c>
      <c r="DX28" s="335">
        <v>539.79999999999995</v>
      </c>
    </row>
    <row r="29" spans="1:128" x14ac:dyDescent="0.25">
      <c r="A29" s="328" t="s">
        <v>1500</v>
      </c>
      <c r="B29" s="335">
        <v>837.02</v>
      </c>
      <c r="C29" s="335">
        <v>0</v>
      </c>
      <c r="D29" s="335">
        <v>801.87</v>
      </c>
      <c r="E29" s="335">
        <v>25.93</v>
      </c>
      <c r="F29" s="335">
        <v>167.67</v>
      </c>
      <c r="G29" s="335">
        <v>247.48</v>
      </c>
      <c r="H29" s="335">
        <v>33.68</v>
      </c>
      <c r="I29" s="335">
        <v>16.41</v>
      </c>
      <c r="J29" s="335">
        <v>31.01</v>
      </c>
      <c r="K29" s="335">
        <v>18.010000000000002</v>
      </c>
      <c r="L29" s="335">
        <v>0</v>
      </c>
      <c r="M29" s="335">
        <v>247.29896500000001</v>
      </c>
      <c r="N29" s="335">
        <v>169.81</v>
      </c>
      <c r="O29" s="335">
        <v>247.54</v>
      </c>
      <c r="P29" s="335">
        <v>247.17</v>
      </c>
      <c r="Q29" s="335">
        <v>170.82</v>
      </c>
      <c r="R29" s="335">
        <v>250.49</v>
      </c>
      <c r="S29" s="335">
        <v>1.27</v>
      </c>
      <c r="T29" s="335">
        <v>1.28</v>
      </c>
      <c r="U29" s="335">
        <v>168</v>
      </c>
      <c r="V29" s="335">
        <v>303.14999999999998</v>
      </c>
      <c r="W29" s="335">
        <v>302.67</v>
      </c>
      <c r="X29" s="335">
        <v>405.45107999999999</v>
      </c>
      <c r="Y29" s="335">
        <v>0</v>
      </c>
      <c r="Z29" s="335">
        <v>0</v>
      </c>
      <c r="AA29" s="335">
        <v>405.45</v>
      </c>
      <c r="AB29" s="335">
        <v>408.74</v>
      </c>
      <c r="AC29" s="335">
        <v>355.41</v>
      </c>
      <c r="AD29" s="335">
        <v>338.69</v>
      </c>
      <c r="AE29" s="335">
        <v>-46.24</v>
      </c>
      <c r="AF29" s="335">
        <v>-50.03</v>
      </c>
      <c r="AG29" s="335">
        <v>-72.849999999999994</v>
      </c>
      <c r="AH29" s="335">
        <v>-73</v>
      </c>
      <c r="AI29" s="335">
        <v>164.49</v>
      </c>
      <c r="AJ29" s="335">
        <v>151.30000000000001</v>
      </c>
      <c r="AK29" s="335">
        <v>540.14</v>
      </c>
      <c r="AL29" s="335">
        <v>36.32</v>
      </c>
      <c r="AM29" s="335">
        <v>542.05999999999995</v>
      </c>
      <c r="AN29" s="335">
        <v>542.46</v>
      </c>
      <c r="AO29" s="335">
        <v>2.48</v>
      </c>
      <c r="AP29" s="335">
        <v>2.39</v>
      </c>
      <c r="AQ29" s="335">
        <v>0</v>
      </c>
      <c r="AR29" s="335">
        <v>6.14</v>
      </c>
      <c r="AS29" s="335">
        <v>39.79</v>
      </c>
      <c r="AT29" s="335">
        <v>38.99</v>
      </c>
      <c r="AU29" s="335">
        <v>297.07</v>
      </c>
      <c r="AV29" s="335">
        <v>288.98</v>
      </c>
      <c r="AW29" s="335">
        <v>956.73</v>
      </c>
      <c r="AX29" s="335">
        <v>964.25</v>
      </c>
      <c r="AY29" s="335">
        <v>811.55</v>
      </c>
      <c r="AZ29" s="335">
        <v>828.51</v>
      </c>
      <c r="BA29" s="335">
        <v>103.46</v>
      </c>
      <c r="BB29" s="335">
        <v>102.2</v>
      </c>
      <c r="BC29" s="335">
        <v>201.49</v>
      </c>
      <c r="BD29" s="335">
        <v>42.9</v>
      </c>
      <c r="BE29" s="335">
        <v>43.63</v>
      </c>
      <c r="BF29" s="335">
        <v>42.42</v>
      </c>
      <c r="BG29" s="335">
        <v>42.66</v>
      </c>
      <c r="BH29" s="335">
        <v>30.02</v>
      </c>
      <c r="BI29" s="335">
        <v>76.739999999999995</v>
      </c>
      <c r="BJ29" s="335">
        <v>76.599999999999994</v>
      </c>
      <c r="BK29" s="335">
        <v>90.47</v>
      </c>
      <c r="BL29" s="335">
        <v>86.4</v>
      </c>
      <c r="BM29" s="335">
        <v>79.819999999999993</v>
      </c>
      <c r="BN29" s="335">
        <v>79.31</v>
      </c>
      <c r="BO29" s="335">
        <v>85.96</v>
      </c>
      <c r="BP29" s="335">
        <v>88.25</v>
      </c>
      <c r="BQ29" s="335">
        <v>73.03</v>
      </c>
      <c r="BR29" s="335">
        <v>75.8</v>
      </c>
      <c r="BS29" s="335">
        <v>236.86</v>
      </c>
      <c r="BT29" s="335">
        <v>0</v>
      </c>
      <c r="BU29" s="335">
        <v>274.01</v>
      </c>
      <c r="BV29" s="335">
        <v>255.92</v>
      </c>
      <c r="BW29" s="335">
        <v>0</v>
      </c>
      <c r="BX29" s="335">
        <v>32.340000000000003</v>
      </c>
      <c r="BY29" s="335">
        <v>31.13</v>
      </c>
      <c r="BZ29" s="335">
        <v>304.35000000000002</v>
      </c>
      <c r="CA29" s="335">
        <v>280.25</v>
      </c>
      <c r="CB29" s="335">
        <v>258.44</v>
      </c>
      <c r="CC29" s="335">
        <v>257.49</v>
      </c>
      <c r="CD29" s="335">
        <v>147.43</v>
      </c>
      <c r="CE29" s="335">
        <v>145.38</v>
      </c>
      <c r="CF29" s="335">
        <v>144.38</v>
      </c>
      <c r="CG29" s="335">
        <v>148</v>
      </c>
      <c r="CH29" s="335">
        <v>-79.599999999999994</v>
      </c>
      <c r="CI29" s="335">
        <v>-74.400000000000006</v>
      </c>
      <c r="CJ29" s="335">
        <v>-256.05</v>
      </c>
      <c r="CK29" s="335">
        <v>-243.51</v>
      </c>
      <c r="CL29" s="335">
        <v>32.69</v>
      </c>
      <c r="CM29" s="335">
        <v>34.450000000000003</v>
      </c>
      <c r="CN29" s="335">
        <v>266.75</v>
      </c>
      <c r="CO29" s="335">
        <v>269.41000000000003</v>
      </c>
      <c r="CP29" s="335">
        <v>42.79</v>
      </c>
      <c r="CQ29" s="335">
        <v>39.74</v>
      </c>
      <c r="CR29" s="335">
        <v>41.36</v>
      </c>
      <c r="CS29" s="335">
        <v>41.42</v>
      </c>
      <c r="CT29" s="335">
        <v>38.69</v>
      </c>
      <c r="CU29" s="335">
        <v>272.14999999999998</v>
      </c>
      <c r="CV29" s="335">
        <v>406.36</v>
      </c>
      <c r="CW29" s="335">
        <v>695.38</v>
      </c>
      <c r="CX29" s="335">
        <v>538.82000000000005</v>
      </c>
      <c r="CY29" s="335">
        <v>149.93</v>
      </c>
      <c r="CZ29" s="335">
        <v>345.11</v>
      </c>
      <c r="DA29" s="335">
        <v>38.159999999999997</v>
      </c>
      <c r="DB29" s="335">
        <v>541.16</v>
      </c>
      <c r="DC29" s="335">
        <v>539.96</v>
      </c>
      <c r="DD29" s="335">
        <v>36</v>
      </c>
      <c r="DE29" s="335">
        <v>0.10630000000000001</v>
      </c>
      <c r="DF29" s="335">
        <v>207.29</v>
      </c>
      <c r="DG29" s="335">
        <v>172.26</v>
      </c>
      <c r="DH29" s="335">
        <v>344.16</v>
      </c>
      <c r="DI29" s="335">
        <v>38.21</v>
      </c>
      <c r="DJ29" s="335">
        <v>214.06</v>
      </c>
      <c r="DK29" s="335">
        <v>36.01</v>
      </c>
      <c r="DL29" s="335">
        <v>36.119999999999997</v>
      </c>
      <c r="DM29" s="335">
        <v>45.18</v>
      </c>
      <c r="DN29" s="335">
        <v>44.87</v>
      </c>
      <c r="DO29" s="335">
        <v>538.82000000000005</v>
      </c>
      <c r="DP29" s="335">
        <v>538.34</v>
      </c>
      <c r="DQ29" s="335">
        <v>538.87</v>
      </c>
      <c r="DR29" s="335">
        <v>537.11</v>
      </c>
      <c r="DS29" s="335">
        <v>148.54</v>
      </c>
      <c r="DT29" s="335">
        <v>148.18</v>
      </c>
      <c r="DU29" s="335">
        <v>36.130000000000003</v>
      </c>
      <c r="DV29" s="335">
        <v>540.75</v>
      </c>
      <c r="DW29" s="335">
        <v>539.57000000000005</v>
      </c>
      <c r="DX29" s="335">
        <v>539.79999999999995</v>
      </c>
    </row>
    <row r="30" spans="1:128" x14ac:dyDescent="0.25">
      <c r="A30" s="328" t="s">
        <v>1501</v>
      </c>
      <c r="B30" s="335">
        <v>833.47</v>
      </c>
      <c r="C30" s="335">
        <v>0</v>
      </c>
      <c r="D30" s="335">
        <v>801.71</v>
      </c>
      <c r="E30" s="335">
        <v>25.93</v>
      </c>
      <c r="F30" s="335">
        <v>167.87</v>
      </c>
      <c r="G30" s="335">
        <v>247.48</v>
      </c>
      <c r="H30" s="335">
        <v>34.450000000000003</v>
      </c>
      <c r="I30" s="335">
        <v>16.239999999999998</v>
      </c>
      <c r="J30" s="335">
        <v>31.2</v>
      </c>
      <c r="K30" s="335">
        <v>18.010000000000002</v>
      </c>
      <c r="L30" s="335">
        <v>0</v>
      </c>
      <c r="M30" s="335">
        <v>247.29896500000001</v>
      </c>
      <c r="N30" s="335">
        <v>169.97</v>
      </c>
      <c r="O30" s="335">
        <v>247.54</v>
      </c>
      <c r="P30" s="335">
        <v>247.17</v>
      </c>
      <c r="Q30" s="335">
        <v>171.12</v>
      </c>
      <c r="R30" s="335">
        <v>250.49</v>
      </c>
      <c r="S30" s="335">
        <v>1.27</v>
      </c>
      <c r="T30" s="335">
        <v>1.28</v>
      </c>
      <c r="U30" s="335">
        <v>168.15</v>
      </c>
      <c r="V30" s="335">
        <v>303.14999999999998</v>
      </c>
      <c r="W30" s="335">
        <v>302.67</v>
      </c>
      <c r="X30" s="335">
        <v>405.45107999999999</v>
      </c>
      <c r="Y30" s="335">
        <v>0</v>
      </c>
      <c r="Z30" s="335">
        <v>0</v>
      </c>
      <c r="AA30" s="335">
        <v>405.45</v>
      </c>
      <c r="AB30" s="335">
        <v>408.74</v>
      </c>
      <c r="AC30" s="335">
        <v>355.41</v>
      </c>
      <c r="AD30" s="335">
        <v>338.69</v>
      </c>
      <c r="AE30" s="335">
        <v>-46.5</v>
      </c>
      <c r="AF30" s="335">
        <v>-50.97</v>
      </c>
      <c r="AG30" s="335">
        <v>-72.94</v>
      </c>
      <c r="AH30" s="335">
        <v>-73.37</v>
      </c>
      <c r="AI30" s="335">
        <v>164.7</v>
      </c>
      <c r="AJ30" s="335">
        <v>151.51</v>
      </c>
      <c r="AK30" s="335">
        <v>540.42999999999995</v>
      </c>
      <c r="AL30" s="335">
        <v>36.32</v>
      </c>
      <c r="AM30" s="335">
        <v>542.41999999999996</v>
      </c>
      <c r="AN30" s="335">
        <v>542.46</v>
      </c>
      <c r="AO30" s="335">
        <v>2.5</v>
      </c>
      <c r="AP30" s="335">
        <v>2.41</v>
      </c>
      <c r="AQ30" s="335">
        <v>0</v>
      </c>
      <c r="AR30" s="335">
        <v>6.14</v>
      </c>
      <c r="AS30" s="335">
        <v>39.79</v>
      </c>
      <c r="AT30" s="335">
        <v>39.409999999999997</v>
      </c>
      <c r="AU30" s="335">
        <v>297.07</v>
      </c>
      <c r="AV30" s="335">
        <v>288.98</v>
      </c>
      <c r="AW30" s="335">
        <v>955.89</v>
      </c>
      <c r="AX30" s="335">
        <v>963.5</v>
      </c>
      <c r="AY30" s="335">
        <v>810.7</v>
      </c>
      <c r="AZ30" s="335">
        <v>827.63</v>
      </c>
      <c r="BA30" s="335">
        <v>103.43</v>
      </c>
      <c r="BB30" s="335">
        <v>102.16</v>
      </c>
      <c r="BC30" s="335">
        <v>201.38</v>
      </c>
      <c r="BD30" s="335">
        <v>42.9</v>
      </c>
      <c r="BE30" s="335">
        <v>43.63</v>
      </c>
      <c r="BF30" s="335">
        <v>42.42</v>
      </c>
      <c r="BG30" s="335">
        <v>42.43</v>
      </c>
      <c r="BH30" s="335">
        <v>30.02</v>
      </c>
      <c r="BI30" s="335">
        <v>76.81</v>
      </c>
      <c r="BJ30" s="335">
        <v>76.709999999999994</v>
      </c>
      <c r="BK30" s="335">
        <v>90.3</v>
      </c>
      <c r="BL30" s="335">
        <v>86.18</v>
      </c>
      <c r="BM30" s="335">
        <v>79.599999999999994</v>
      </c>
      <c r="BN30" s="335">
        <v>79.2</v>
      </c>
      <c r="BO30" s="335">
        <v>86</v>
      </c>
      <c r="BP30" s="335">
        <v>88.28</v>
      </c>
      <c r="BQ30" s="335">
        <v>73.08</v>
      </c>
      <c r="BR30" s="335">
        <v>75.849999999999994</v>
      </c>
      <c r="BS30" s="335">
        <v>236.38</v>
      </c>
      <c r="BT30" s="335">
        <v>0</v>
      </c>
      <c r="BU30" s="335">
        <v>274.01</v>
      </c>
      <c r="BV30" s="335">
        <v>255.92</v>
      </c>
      <c r="BW30" s="335">
        <v>0</v>
      </c>
      <c r="BX30" s="335">
        <v>32.340000000000003</v>
      </c>
      <c r="BY30" s="335">
        <v>31.43</v>
      </c>
      <c r="BZ30" s="335">
        <v>304.35000000000002</v>
      </c>
      <c r="CA30" s="335">
        <v>280.25</v>
      </c>
      <c r="CB30" s="335">
        <v>258.08999999999997</v>
      </c>
      <c r="CC30" s="335">
        <v>256.95</v>
      </c>
      <c r="CD30" s="335">
        <v>147.09</v>
      </c>
      <c r="CE30" s="335">
        <v>145.02000000000001</v>
      </c>
      <c r="CF30" s="335">
        <v>144.38</v>
      </c>
      <c r="CG30" s="335">
        <v>148</v>
      </c>
      <c r="CH30" s="335">
        <v>-79.63</v>
      </c>
      <c r="CI30" s="335">
        <v>-74.709999999999994</v>
      </c>
      <c r="CJ30" s="335">
        <v>-256.82</v>
      </c>
      <c r="CK30" s="335">
        <v>-243.83</v>
      </c>
      <c r="CL30" s="335">
        <v>32.69</v>
      </c>
      <c r="CM30" s="335">
        <v>34.450000000000003</v>
      </c>
      <c r="CN30" s="335">
        <v>266.76</v>
      </c>
      <c r="CO30" s="335">
        <v>269.17</v>
      </c>
      <c r="CP30" s="335">
        <v>42.73</v>
      </c>
      <c r="CQ30" s="335">
        <v>39.840000000000003</v>
      </c>
      <c r="CR30" s="335">
        <v>41.33</v>
      </c>
      <c r="CS30" s="335">
        <v>41.42</v>
      </c>
      <c r="CT30" s="335">
        <v>38.82</v>
      </c>
      <c r="CU30" s="335">
        <v>272.14999999999998</v>
      </c>
      <c r="CV30" s="335">
        <v>406.16</v>
      </c>
      <c r="CW30" s="335">
        <v>694.05</v>
      </c>
      <c r="CX30" s="335">
        <v>538.82000000000005</v>
      </c>
      <c r="CY30" s="335">
        <v>150.13999999999999</v>
      </c>
      <c r="CZ30" s="335">
        <v>345.53</v>
      </c>
      <c r="DA30" s="335">
        <v>38.159999999999997</v>
      </c>
      <c r="DB30" s="335">
        <v>541.16</v>
      </c>
      <c r="DC30" s="335">
        <v>540.30999999999995</v>
      </c>
      <c r="DD30" s="335">
        <v>36</v>
      </c>
      <c r="DE30" s="335">
        <v>0.10630000000000001</v>
      </c>
      <c r="DF30" s="335">
        <v>207.29</v>
      </c>
      <c r="DG30" s="335">
        <v>172.54</v>
      </c>
      <c r="DH30" s="335">
        <v>344.4</v>
      </c>
      <c r="DI30" s="335">
        <v>38.21</v>
      </c>
      <c r="DJ30" s="335">
        <v>214.06</v>
      </c>
      <c r="DK30" s="335">
        <v>36.01</v>
      </c>
      <c r="DL30" s="335">
        <v>36.119999999999997</v>
      </c>
      <c r="DM30" s="335">
        <v>45.18</v>
      </c>
      <c r="DN30" s="335">
        <v>44.87</v>
      </c>
      <c r="DO30" s="335">
        <v>538.82000000000005</v>
      </c>
      <c r="DP30" s="335">
        <v>538.62</v>
      </c>
      <c r="DQ30" s="335">
        <v>538.87</v>
      </c>
      <c r="DR30" s="335">
        <v>537.30999999999995</v>
      </c>
      <c r="DS30" s="335">
        <v>148.77000000000001</v>
      </c>
      <c r="DT30" s="335">
        <v>148.41</v>
      </c>
      <c r="DU30" s="335">
        <v>36.130000000000003</v>
      </c>
      <c r="DV30" s="335">
        <v>540.75</v>
      </c>
      <c r="DW30" s="335">
        <v>539.97</v>
      </c>
      <c r="DX30" s="335">
        <v>539.79999999999995</v>
      </c>
    </row>
    <row r="31" spans="1:128" x14ac:dyDescent="0.25">
      <c r="A31" s="328" t="s">
        <v>1502</v>
      </c>
      <c r="B31" s="335">
        <v>835.39</v>
      </c>
      <c r="C31" s="335">
        <v>0</v>
      </c>
      <c r="D31" s="335">
        <v>800.53</v>
      </c>
      <c r="E31" s="335">
        <v>25.93</v>
      </c>
      <c r="F31" s="335">
        <v>167.65</v>
      </c>
      <c r="G31" s="335">
        <v>247.48</v>
      </c>
      <c r="H31" s="335">
        <v>33.69</v>
      </c>
      <c r="I31" s="335">
        <v>15.95</v>
      </c>
      <c r="J31" s="335">
        <v>30.98</v>
      </c>
      <c r="K31" s="335">
        <v>18.010000000000002</v>
      </c>
      <c r="L31" s="335">
        <v>0</v>
      </c>
      <c r="M31" s="335">
        <v>247.29896500000001</v>
      </c>
      <c r="N31" s="335">
        <v>169.55</v>
      </c>
      <c r="O31" s="335">
        <v>247.54</v>
      </c>
      <c r="P31" s="335">
        <v>247.17</v>
      </c>
      <c r="Q31" s="335">
        <v>170.66</v>
      </c>
      <c r="R31" s="335">
        <v>250.49</v>
      </c>
      <c r="S31" s="335">
        <v>1.27</v>
      </c>
      <c r="T31" s="335">
        <v>1.28</v>
      </c>
      <c r="U31" s="335">
        <v>167.73</v>
      </c>
      <c r="V31" s="335">
        <v>303.14999999999998</v>
      </c>
      <c r="W31" s="335">
        <v>302.67</v>
      </c>
      <c r="X31" s="335">
        <v>405.45107999999999</v>
      </c>
      <c r="Y31" s="335">
        <v>0</v>
      </c>
      <c r="Z31" s="335">
        <v>0</v>
      </c>
      <c r="AA31" s="335">
        <v>405.45</v>
      </c>
      <c r="AB31" s="335">
        <v>408.74</v>
      </c>
      <c r="AC31" s="335">
        <v>355.41</v>
      </c>
      <c r="AD31" s="335">
        <v>338.69</v>
      </c>
      <c r="AE31" s="335">
        <v>-46.66</v>
      </c>
      <c r="AF31" s="335">
        <v>-51.57</v>
      </c>
      <c r="AG31" s="335">
        <v>-73.05</v>
      </c>
      <c r="AH31" s="335">
        <v>-73.56</v>
      </c>
      <c r="AI31" s="335">
        <v>164.54</v>
      </c>
      <c r="AJ31" s="335">
        <v>151.29</v>
      </c>
      <c r="AK31" s="335">
        <v>539.92999999999995</v>
      </c>
      <c r="AL31" s="335">
        <v>36.32</v>
      </c>
      <c r="AM31" s="335">
        <v>542.04999999999995</v>
      </c>
      <c r="AN31" s="335">
        <v>542.07000000000005</v>
      </c>
      <c r="AO31" s="335">
        <v>2.54</v>
      </c>
      <c r="AP31" s="335">
        <v>2.46</v>
      </c>
      <c r="AQ31" s="335">
        <v>0</v>
      </c>
      <c r="AR31" s="335">
        <v>6.14</v>
      </c>
      <c r="AS31" s="335">
        <v>39.79</v>
      </c>
      <c r="AT31" s="335">
        <v>39.409999999999997</v>
      </c>
      <c r="AU31" s="335">
        <v>297.07</v>
      </c>
      <c r="AV31" s="335">
        <v>288.98</v>
      </c>
      <c r="AW31" s="335">
        <v>953.69</v>
      </c>
      <c r="AX31" s="335">
        <v>961.29</v>
      </c>
      <c r="AY31" s="335">
        <v>808.99</v>
      </c>
      <c r="AZ31" s="335">
        <v>826.02</v>
      </c>
      <c r="BA31" s="335">
        <v>103.48</v>
      </c>
      <c r="BB31" s="335">
        <v>102.05</v>
      </c>
      <c r="BC31" s="335">
        <v>199</v>
      </c>
      <c r="BD31" s="335">
        <v>42.9</v>
      </c>
      <c r="BE31" s="335">
        <v>43.63</v>
      </c>
      <c r="BF31" s="335">
        <v>42.42</v>
      </c>
      <c r="BG31" s="335">
        <v>41.4</v>
      </c>
      <c r="BH31" s="335">
        <v>28.56</v>
      </c>
      <c r="BI31" s="335">
        <v>76.739999999999995</v>
      </c>
      <c r="BJ31" s="335">
        <v>76.7</v>
      </c>
      <c r="BK31" s="335">
        <v>90.25</v>
      </c>
      <c r="BL31" s="335">
        <v>86.12</v>
      </c>
      <c r="BM31" s="335">
        <v>79.680000000000007</v>
      </c>
      <c r="BN31" s="335">
        <v>79.34</v>
      </c>
      <c r="BO31" s="335">
        <v>86.23</v>
      </c>
      <c r="BP31" s="335">
        <v>88.55</v>
      </c>
      <c r="BQ31" s="335">
        <v>73.680000000000007</v>
      </c>
      <c r="BR31" s="335">
        <v>76.36</v>
      </c>
      <c r="BS31" s="335">
        <v>236.57</v>
      </c>
      <c r="BT31" s="335">
        <v>0</v>
      </c>
      <c r="BU31" s="335">
        <v>274.01</v>
      </c>
      <c r="BV31" s="335">
        <v>255.92</v>
      </c>
      <c r="BW31" s="335">
        <v>0</v>
      </c>
      <c r="BX31" s="335">
        <v>32.340000000000003</v>
      </c>
      <c r="BY31" s="335">
        <v>31.65</v>
      </c>
      <c r="BZ31" s="335">
        <v>304.35000000000002</v>
      </c>
      <c r="CA31" s="335">
        <v>280.25</v>
      </c>
      <c r="CB31" s="335">
        <v>258.14</v>
      </c>
      <c r="CC31" s="335">
        <v>256.85000000000002</v>
      </c>
      <c r="CD31" s="335">
        <v>147</v>
      </c>
      <c r="CE31" s="335">
        <v>144.88999999999999</v>
      </c>
      <c r="CF31" s="335">
        <v>144.38</v>
      </c>
      <c r="CG31" s="335">
        <v>148</v>
      </c>
      <c r="CH31" s="335">
        <v>-79.56</v>
      </c>
      <c r="CI31" s="335">
        <v>-74.989999999999995</v>
      </c>
      <c r="CJ31" s="335">
        <v>-256.89999999999998</v>
      </c>
      <c r="CK31" s="335">
        <v>-243.89</v>
      </c>
      <c r="CL31" s="335">
        <v>32.69</v>
      </c>
      <c r="CM31" s="335">
        <v>34.450000000000003</v>
      </c>
      <c r="CN31" s="335">
        <v>266.39</v>
      </c>
      <c r="CO31" s="335">
        <v>268.95</v>
      </c>
      <c r="CP31" s="335">
        <v>42.8</v>
      </c>
      <c r="CQ31" s="335">
        <v>39.86</v>
      </c>
      <c r="CR31" s="335">
        <v>41.46</v>
      </c>
      <c r="CS31" s="335">
        <v>41.15</v>
      </c>
      <c r="CT31" s="335">
        <v>38.43</v>
      </c>
      <c r="CU31" s="335">
        <v>271.67</v>
      </c>
      <c r="CV31" s="335">
        <v>407.07</v>
      </c>
      <c r="CW31" s="335">
        <v>694.56</v>
      </c>
      <c r="CX31" s="335">
        <v>538.45000000000005</v>
      </c>
      <c r="CY31" s="335">
        <v>149.91999999999999</v>
      </c>
      <c r="CZ31" s="335">
        <v>345.2</v>
      </c>
      <c r="DA31" s="335">
        <v>38.159999999999997</v>
      </c>
      <c r="DB31" s="335">
        <v>541.07000000000005</v>
      </c>
      <c r="DC31" s="335">
        <v>540.16</v>
      </c>
      <c r="DD31" s="335">
        <v>36</v>
      </c>
      <c r="DE31" s="335">
        <v>0.10630000000000001</v>
      </c>
      <c r="DF31" s="335">
        <v>207.29</v>
      </c>
      <c r="DG31" s="335">
        <v>172.07</v>
      </c>
      <c r="DH31" s="335">
        <v>344.4</v>
      </c>
      <c r="DI31" s="335">
        <v>38.21</v>
      </c>
      <c r="DJ31" s="335">
        <v>214.06</v>
      </c>
      <c r="DK31" s="335">
        <v>36.01</v>
      </c>
      <c r="DL31" s="335">
        <v>36.119999999999997</v>
      </c>
      <c r="DM31" s="335">
        <v>45.18</v>
      </c>
      <c r="DN31" s="335">
        <v>44.87</v>
      </c>
      <c r="DO31" s="335">
        <v>538.45000000000005</v>
      </c>
      <c r="DP31" s="335">
        <v>538.25</v>
      </c>
      <c r="DQ31" s="335">
        <v>538.6</v>
      </c>
      <c r="DR31" s="335">
        <v>536.78</v>
      </c>
      <c r="DS31" s="335">
        <v>148.57</v>
      </c>
      <c r="DT31" s="335">
        <v>148.21</v>
      </c>
      <c r="DU31" s="335">
        <v>36.130000000000003</v>
      </c>
      <c r="DV31" s="335">
        <v>540.75</v>
      </c>
      <c r="DW31" s="335">
        <v>539.55999999999995</v>
      </c>
      <c r="DX31" s="335">
        <v>539.79999999999995</v>
      </c>
    </row>
    <row r="32" spans="1:128" x14ac:dyDescent="0.25">
      <c r="A32" s="328" t="s">
        <v>1503</v>
      </c>
      <c r="B32" s="335">
        <v>831.85</v>
      </c>
      <c r="C32" s="335">
        <v>0</v>
      </c>
      <c r="D32" s="335">
        <v>797.82</v>
      </c>
      <c r="E32" s="335">
        <v>25.93</v>
      </c>
      <c r="F32" s="335">
        <v>166.96</v>
      </c>
      <c r="G32" s="335">
        <v>247.48</v>
      </c>
      <c r="H32" s="335">
        <v>34.01</v>
      </c>
      <c r="I32" s="335">
        <v>15.87</v>
      </c>
      <c r="J32" s="335">
        <v>31.09</v>
      </c>
      <c r="K32" s="335">
        <v>18.010000000000002</v>
      </c>
      <c r="L32" s="335">
        <v>0</v>
      </c>
      <c r="M32" s="335">
        <v>247.29896500000001</v>
      </c>
      <c r="N32" s="335">
        <v>168.78</v>
      </c>
      <c r="O32" s="335">
        <v>247.54</v>
      </c>
      <c r="P32" s="335">
        <v>247.17</v>
      </c>
      <c r="Q32" s="335">
        <v>169.93</v>
      </c>
      <c r="R32" s="335">
        <v>250.49</v>
      </c>
      <c r="S32" s="335">
        <v>1.27</v>
      </c>
      <c r="T32" s="335">
        <v>1.28</v>
      </c>
      <c r="U32" s="335">
        <v>166.93</v>
      </c>
      <c r="V32" s="335">
        <v>303.14999999999998</v>
      </c>
      <c r="W32" s="335">
        <v>302.67</v>
      </c>
      <c r="X32" s="335">
        <v>405.45107999999999</v>
      </c>
      <c r="Y32" s="335">
        <v>0</v>
      </c>
      <c r="Z32" s="335">
        <v>0</v>
      </c>
      <c r="AA32" s="335">
        <v>405.45</v>
      </c>
      <c r="AB32" s="335">
        <v>408.74</v>
      </c>
      <c r="AC32" s="335">
        <v>355.41</v>
      </c>
      <c r="AD32" s="335">
        <v>338.69</v>
      </c>
      <c r="AE32" s="335">
        <v>-46.15</v>
      </c>
      <c r="AF32" s="335">
        <v>-50.56</v>
      </c>
      <c r="AG32" s="335">
        <v>-72.53</v>
      </c>
      <c r="AH32" s="335">
        <v>-72.88</v>
      </c>
      <c r="AI32" s="335">
        <v>163.80000000000001</v>
      </c>
      <c r="AJ32" s="335">
        <v>150.63999999999999</v>
      </c>
      <c r="AK32" s="335">
        <v>540.15</v>
      </c>
      <c r="AL32" s="335">
        <v>36.32</v>
      </c>
      <c r="AM32" s="335">
        <v>541.72</v>
      </c>
      <c r="AN32" s="335">
        <v>541.84</v>
      </c>
      <c r="AO32" s="335">
        <v>2.66</v>
      </c>
      <c r="AP32" s="335">
        <v>2.56</v>
      </c>
      <c r="AQ32" s="335">
        <v>0</v>
      </c>
      <c r="AR32" s="335">
        <v>6.14</v>
      </c>
      <c r="AS32" s="335">
        <v>39.79</v>
      </c>
      <c r="AT32" s="335">
        <v>39.409999999999997</v>
      </c>
      <c r="AU32" s="335">
        <v>297.07</v>
      </c>
      <c r="AV32" s="335">
        <v>288.98</v>
      </c>
      <c r="AW32" s="335">
        <v>952.53</v>
      </c>
      <c r="AX32" s="335">
        <v>960.19</v>
      </c>
      <c r="AY32" s="335">
        <v>809.16</v>
      </c>
      <c r="AZ32" s="335">
        <v>826.36</v>
      </c>
      <c r="BA32" s="335">
        <v>103.7</v>
      </c>
      <c r="BB32" s="335">
        <v>101.83</v>
      </c>
      <c r="BC32" s="335">
        <v>196.49</v>
      </c>
      <c r="BD32" s="335">
        <v>42.9</v>
      </c>
      <c r="BE32" s="335">
        <v>43.57</v>
      </c>
      <c r="BF32" s="335">
        <v>42.42</v>
      </c>
      <c r="BG32" s="335">
        <v>40.270000000000003</v>
      </c>
      <c r="BH32" s="335">
        <v>27.31</v>
      </c>
      <c r="BI32" s="335">
        <v>76.69</v>
      </c>
      <c r="BJ32" s="335">
        <v>76.62</v>
      </c>
      <c r="BK32" s="335">
        <v>90.31</v>
      </c>
      <c r="BL32" s="335">
        <v>86.14</v>
      </c>
      <c r="BM32" s="335">
        <v>79.62</v>
      </c>
      <c r="BN32" s="335">
        <v>79.12</v>
      </c>
      <c r="BO32" s="335">
        <v>86.48</v>
      </c>
      <c r="BP32" s="335">
        <v>88.86</v>
      </c>
      <c r="BQ32" s="335">
        <v>75.5</v>
      </c>
      <c r="BR32" s="335">
        <v>78.37</v>
      </c>
      <c r="BS32" s="335">
        <v>236.82</v>
      </c>
      <c r="BT32" s="335">
        <v>0</v>
      </c>
      <c r="BU32" s="335">
        <v>274.01</v>
      </c>
      <c r="BV32" s="335">
        <v>255.92</v>
      </c>
      <c r="BW32" s="335">
        <v>0</v>
      </c>
      <c r="BX32" s="335">
        <v>32.340000000000003</v>
      </c>
      <c r="BY32" s="335">
        <v>31.65</v>
      </c>
      <c r="BZ32" s="335">
        <v>304.35000000000002</v>
      </c>
      <c r="CA32" s="335">
        <v>280.25</v>
      </c>
      <c r="CB32" s="335">
        <v>258.54000000000002</v>
      </c>
      <c r="CC32" s="335">
        <v>257.52</v>
      </c>
      <c r="CD32" s="335">
        <v>147.58000000000001</v>
      </c>
      <c r="CE32" s="335">
        <v>145.46</v>
      </c>
      <c r="CF32" s="335">
        <v>144.38</v>
      </c>
      <c r="CG32" s="335">
        <v>148</v>
      </c>
      <c r="CH32" s="335">
        <v>-79.069999999999993</v>
      </c>
      <c r="CI32" s="335">
        <v>-74.39</v>
      </c>
      <c r="CJ32" s="335">
        <v>-256.06</v>
      </c>
      <c r="CK32" s="335">
        <v>-243.41</v>
      </c>
      <c r="CL32" s="335">
        <v>32.69</v>
      </c>
      <c r="CM32" s="335">
        <v>34.450000000000003</v>
      </c>
      <c r="CN32" s="335">
        <v>266.8</v>
      </c>
      <c r="CO32" s="335">
        <v>269.31</v>
      </c>
      <c r="CP32" s="335">
        <v>42.88</v>
      </c>
      <c r="CQ32" s="335">
        <v>39.86</v>
      </c>
      <c r="CR32" s="335">
        <v>41.5</v>
      </c>
      <c r="CS32" s="335">
        <v>40.68</v>
      </c>
      <c r="CT32" s="335">
        <v>37.950000000000003</v>
      </c>
      <c r="CU32" s="335">
        <v>270.87</v>
      </c>
      <c r="CV32" s="335">
        <v>409.28</v>
      </c>
      <c r="CW32" s="335">
        <v>693.61</v>
      </c>
      <c r="CX32" s="335">
        <v>538.75</v>
      </c>
      <c r="CY32" s="335">
        <v>149.16999999999999</v>
      </c>
      <c r="CZ32" s="335">
        <v>345.38</v>
      </c>
      <c r="DA32" s="335">
        <v>38.159999999999997</v>
      </c>
      <c r="DB32" s="335">
        <v>540.62</v>
      </c>
      <c r="DC32" s="335">
        <v>539.70000000000005</v>
      </c>
      <c r="DD32" s="335">
        <v>36</v>
      </c>
      <c r="DE32" s="335">
        <v>0.10630000000000001</v>
      </c>
      <c r="DF32" s="335">
        <v>207.29</v>
      </c>
      <c r="DG32" s="335">
        <v>171.31</v>
      </c>
      <c r="DH32" s="335">
        <v>344.4</v>
      </c>
      <c r="DI32" s="335">
        <v>38.21</v>
      </c>
      <c r="DJ32" s="335">
        <v>214.06</v>
      </c>
      <c r="DK32" s="335">
        <v>36.01</v>
      </c>
      <c r="DL32" s="335">
        <v>36.119999999999997</v>
      </c>
      <c r="DM32" s="335">
        <v>45.18</v>
      </c>
      <c r="DN32" s="335">
        <v>44.87</v>
      </c>
      <c r="DO32" s="335">
        <v>538.75</v>
      </c>
      <c r="DP32" s="335">
        <v>538.25</v>
      </c>
      <c r="DQ32" s="335">
        <v>538.80999999999995</v>
      </c>
      <c r="DR32" s="335">
        <v>537.03</v>
      </c>
      <c r="DS32" s="335">
        <v>147.85</v>
      </c>
      <c r="DT32" s="335">
        <v>147.56</v>
      </c>
      <c r="DU32" s="335">
        <v>36.130000000000003</v>
      </c>
      <c r="DV32" s="335">
        <v>540.67999999999995</v>
      </c>
      <c r="DW32" s="335">
        <v>539.38</v>
      </c>
      <c r="DX32" s="335">
        <v>539.6</v>
      </c>
    </row>
    <row r="33" spans="1:128" ht="19.5" x14ac:dyDescent="0.25">
      <c r="A33" s="321"/>
      <c r="B33" s="322">
        <v>830.64119999999991</v>
      </c>
      <c r="C33" s="322">
        <v>0</v>
      </c>
      <c r="D33" s="322">
        <v>797.99479999999983</v>
      </c>
      <c r="E33" s="322">
        <v>25.283999999999992</v>
      </c>
      <c r="F33" s="322">
        <v>166.68240000000003</v>
      </c>
      <c r="G33" s="322">
        <v>247.30479999999986</v>
      </c>
      <c r="H33" s="322">
        <v>34.197999999999993</v>
      </c>
      <c r="I33" s="322">
        <v>15.548000000000002</v>
      </c>
      <c r="J33" s="322">
        <v>32.178400000000003</v>
      </c>
      <c r="K33" s="322">
        <v>17.9468</v>
      </c>
      <c r="L33" s="322">
        <v>0</v>
      </c>
      <c r="M33" s="322">
        <v>247.18714847999996</v>
      </c>
      <c r="N33" s="322">
        <v>168.5196</v>
      </c>
      <c r="O33" s="322">
        <v>247.41319999999996</v>
      </c>
      <c r="P33" s="322">
        <v>247.03000000000003</v>
      </c>
      <c r="Q33" s="322">
        <v>169.62080000000003</v>
      </c>
      <c r="R33" s="322">
        <v>250.2803999999999</v>
      </c>
      <c r="S33" s="322">
        <v>1.2591999999999999</v>
      </c>
      <c r="T33" s="322">
        <v>1.2744000000000006</v>
      </c>
      <c r="U33" s="322">
        <v>166.74200000000002</v>
      </c>
      <c r="V33" s="322">
        <v>302.73959999999988</v>
      </c>
      <c r="W33" s="322">
        <v>302.60760000000005</v>
      </c>
      <c r="X33" s="322">
        <v>405.32101924000017</v>
      </c>
      <c r="Y33" s="322">
        <v>0</v>
      </c>
      <c r="Z33" s="322">
        <v>0</v>
      </c>
      <c r="AA33" s="322">
        <v>405.29480000000018</v>
      </c>
      <c r="AB33" s="322">
        <v>408.55759999999992</v>
      </c>
      <c r="AC33" s="322">
        <v>355.32760000000002</v>
      </c>
      <c r="AD33" s="322">
        <v>338.41479999999979</v>
      </c>
      <c r="AE33" s="322">
        <v>-46.225600000000014</v>
      </c>
      <c r="AF33" s="322">
        <v>-51.558799999999991</v>
      </c>
      <c r="AG33" s="322">
        <v>-72.684799999999996</v>
      </c>
      <c r="AH33" s="322">
        <v>-73.53400000000002</v>
      </c>
      <c r="AI33" s="322">
        <v>163.54840000000002</v>
      </c>
      <c r="AJ33" s="322">
        <v>150.25800000000001</v>
      </c>
      <c r="AK33" s="322">
        <v>540.17520000000002</v>
      </c>
      <c r="AL33" s="322">
        <v>36.217600000000019</v>
      </c>
      <c r="AM33" s="322">
        <v>542.43679999999995</v>
      </c>
      <c r="AN33" s="322">
        <v>542.47439999999983</v>
      </c>
      <c r="AO33" s="322">
        <v>2.5728000000000004</v>
      </c>
      <c r="AP33" s="322">
        <v>2.4892000000000003</v>
      </c>
      <c r="AQ33" s="322">
        <v>0</v>
      </c>
      <c r="AR33" s="322">
        <v>6.0715999999999983</v>
      </c>
      <c r="AS33" s="322">
        <v>40.003599999999985</v>
      </c>
      <c r="AT33" s="322">
        <v>39.128399999999992</v>
      </c>
      <c r="AU33" s="322">
        <v>296.71679999999992</v>
      </c>
      <c r="AV33" s="322">
        <v>288.95839999999981</v>
      </c>
      <c r="AW33" s="322">
        <v>956.1823999999998</v>
      </c>
      <c r="AX33" s="322">
        <v>963.52159999999992</v>
      </c>
      <c r="AY33" s="322">
        <v>811.13480000000015</v>
      </c>
      <c r="AZ33" s="322">
        <v>827.74640000000011</v>
      </c>
      <c r="BA33" s="322">
        <v>103.8336</v>
      </c>
      <c r="BB33" s="322">
        <v>102.05919999999998</v>
      </c>
      <c r="BC33" s="322">
        <v>201.29679999999996</v>
      </c>
      <c r="BD33" s="322">
        <v>42.833599999999997</v>
      </c>
      <c r="BE33" s="322">
        <v>43.642399999999995</v>
      </c>
      <c r="BF33" s="322">
        <v>42.393999999999984</v>
      </c>
      <c r="BG33" s="322">
        <v>42.472799999999999</v>
      </c>
      <c r="BH33" s="322">
        <v>29.964399999999987</v>
      </c>
      <c r="BI33" s="322">
        <v>77.039600000000007</v>
      </c>
      <c r="BJ33" s="322">
        <v>76.927199999999999</v>
      </c>
      <c r="BK33" s="322">
        <v>90.55</v>
      </c>
      <c r="BL33" s="322">
        <v>86.506</v>
      </c>
      <c r="BM33" s="322">
        <v>79.805199999999999</v>
      </c>
      <c r="BN33" s="322">
        <v>79.277599999999978</v>
      </c>
      <c r="BO33" s="322">
        <v>85.799999999999983</v>
      </c>
      <c r="BP33" s="322">
        <v>88.24199999999999</v>
      </c>
      <c r="BQ33" s="322">
        <v>73.134</v>
      </c>
      <c r="BR33" s="322">
        <v>75.814399999999992</v>
      </c>
      <c r="BS33" s="322">
        <v>236.37479999999996</v>
      </c>
      <c r="BT33" s="322">
        <v>0</v>
      </c>
      <c r="BU33" s="322">
        <v>273.77560000000011</v>
      </c>
      <c r="BV33" s="322">
        <v>255.70560000000006</v>
      </c>
      <c r="BW33" s="322">
        <v>0</v>
      </c>
      <c r="BX33" s="322">
        <v>32.547200000000018</v>
      </c>
      <c r="BY33" s="322">
        <v>31.431599999999989</v>
      </c>
      <c r="BZ33" s="322">
        <v>303.99840000000017</v>
      </c>
      <c r="CA33" s="322">
        <v>279.92840000000001</v>
      </c>
      <c r="CB33" s="322">
        <v>258.70399999999995</v>
      </c>
      <c r="CC33" s="322">
        <v>257.54399999999993</v>
      </c>
      <c r="CD33" s="322">
        <v>147.71200000000002</v>
      </c>
      <c r="CE33" s="322">
        <v>145.42880000000002</v>
      </c>
      <c r="CF33" s="322">
        <v>144.53040000000001</v>
      </c>
      <c r="CG33" s="322">
        <v>148.04359999999997</v>
      </c>
      <c r="CH33" s="322">
        <v>-79.383999999999986</v>
      </c>
      <c r="CI33" s="322">
        <v>-74.668000000000006</v>
      </c>
      <c r="CJ33" s="322">
        <v>-257.09640000000002</v>
      </c>
      <c r="CK33" s="322">
        <v>-244.24440000000001</v>
      </c>
      <c r="CL33" s="322">
        <v>32.841600000000014</v>
      </c>
      <c r="CM33" s="322">
        <v>34.192800000000005</v>
      </c>
      <c r="CN33" s="322">
        <v>267.14800000000008</v>
      </c>
      <c r="CO33" s="322">
        <v>269.42919999999998</v>
      </c>
      <c r="CP33" s="322">
        <v>42.678000000000011</v>
      </c>
      <c r="CQ33" s="322">
        <v>39.874399999999994</v>
      </c>
      <c r="CR33" s="322">
        <v>41.3292</v>
      </c>
      <c r="CS33" s="322">
        <v>41.404399999999988</v>
      </c>
      <c r="CT33" s="322">
        <v>38.657600000000002</v>
      </c>
      <c r="CU33" s="322">
        <v>270.72959999999995</v>
      </c>
      <c r="CV33" s="322">
        <v>406.69599999999997</v>
      </c>
      <c r="CW33" s="322">
        <v>693.20920000000001</v>
      </c>
      <c r="CX33" s="322">
        <v>538.95120000000009</v>
      </c>
      <c r="CY33" s="322">
        <v>148.87959999999995</v>
      </c>
      <c r="CZ33" s="322">
        <v>345.60399999999993</v>
      </c>
      <c r="DA33" s="322">
        <v>38.065999999999988</v>
      </c>
      <c r="DB33" s="322">
        <v>541.10560000000009</v>
      </c>
      <c r="DC33" s="322">
        <v>540.21720000000005</v>
      </c>
      <c r="DD33" s="322">
        <v>35.896799999999999</v>
      </c>
      <c r="DE33" s="322">
        <v>0.10667200000000003</v>
      </c>
      <c r="DF33" s="322">
        <v>207.14959999999999</v>
      </c>
      <c r="DG33" s="322">
        <v>171.0104</v>
      </c>
      <c r="DH33" s="322">
        <v>344.60519999999997</v>
      </c>
      <c r="DI33" s="322">
        <v>38.121200000000016</v>
      </c>
      <c r="DJ33" s="322">
        <v>213.93520000000007</v>
      </c>
      <c r="DK33" s="322">
        <v>36.106399999999994</v>
      </c>
      <c r="DL33" s="322">
        <v>36.195599999999999</v>
      </c>
      <c r="DM33" s="322">
        <v>45.259599999999992</v>
      </c>
      <c r="DN33" s="322">
        <v>44.930399999999999</v>
      </c>
      <c r="DO33" s="322">
        <v>538.95120000000009</v>
      </c>
      <c r="DP33" s="322">
        <v>538.51839999999993</v>
      </c>
      <c r="DQ33" s="322">
        <v>539.0716000000001</v>
      </c>
      <c r="DR33" s="322">
        <v>537.13560000000007</v>
      </c>
      <c r="DS33" s="322">
        <v>147.50199999999998</v>
      </c>
      <c r="DT33" s="322">
        <v>147.14600000000002</v>
      </c>
      <c r="DU33" s="322">
        <v>36.031999999999996</v>
      </c>
      <c r="DV33" s="322">
        <v>541.06200000000001</v>
      </c>
      <c r="DW33" s="322">
        <v>539.81359999999995</v>
      </c>
      <c r="DX33" s="322">
        <v>539.88439999999991</v>
      </c>
    </row>
    <row r="34" spans="1:128" x14ac:dyDescent="0.25">
      <c r="B34" s="327" t="s">
        <v>963</v>
      </c>
      <c r="C34" s="327" t="s">
        <v>964</v>
      </c>
      <c r="D34" s="327" t="s">
        <v>965</v>
      </c>
      <c r="E34" s="327" t="s">
        <v>966</v>
      </c>
      <c r="F34" s="327" t="s">
        <v>967</v>
      </c>
      <c r="G34" s="327" t="s">
        <v>968</v>
      </c>
    </row>
    <row r="35" spans="1:128" x14ac:dyDescent="0.25">
      <c r="A35" s="328" t="s">
        <v>1476</v>
      </c>
      <c r="B35" s="329" t="s">
        <v>1504</v>
      </c>
      <c r="C35" s="329" t="s">
        <v>1505</v>
      </c>
      <c r="D35" s="329" t="s">
        <v>1388</v>
      </c>
      <c r="E35" s="329" t="s">
        <v>1506</v>
      </c>
      <c r="F35" s="329">
        <v>0</v>
      </c>
      <c r="G35" s="329" t="s">
        <v>1507</v>
      </c>
    </row>
    <row r="36" spans="1:128" x14ac:dyDescent="0.25">
      <c r="A36" s="328" t="s">
        <v>1477</v>
      </c>
      <c r="B36" s="329" t="s">
        <v>1508</v>
      </c>
      <c r="C36" s="329" t="s">
        <v>1509</v>
      </c>
      <c r="D36" s="329" t="s">
        <v>1510</v>
      </c>
      <c r="E36" s="329" t="s">
        <v>1323</v>
      </c>
      <c r="F36" s="329">
        <v>0</v>
      </c>
      <c r="G36" s="329" t="s">
        <v>1511</v>
      </c>
    </row>
    <row r="37" spans="1:128" x14ac:dyDescent="0.25">
      <c r="A37" s="328" t="s">
        <v>1478</v>
      </c>
      <c r="B37" s="329" t="s">
        <v>1512</v>
      </c>
      <c r="C37" s="329" t="s">
        <v>1513</v>
      </c>
      <c r="D37" s="329" t="s">
        <v>1178</v>
      </c>
      <c r="E37" s="329" t="s">
        <v>1514</v>
      </c>
      <c r="F37" s="329">
        <v>0</v>
      </c>
      <c r="G37" s="329" t="s">
        <v>1515</v>
      </c>
    </row>
    <row r="38" spans="1:128" x14ac:dyDescent="0.25">
      <c r="A38" s="328" t="s">
        <v>1479</v>
      </c>
      <c r="B38" s="329" t="s">
        <v>1516</v>
      </c>
      <c r="C38" s="329" t="s">
        <v>1517</v>
      </c>
      <c r="D38" s="329" t="s">
        <v>1518</v>
      </c>
      <c r="E38" s="329" t="s">
        <v>1519</v>
      </c>
      <c r="F38" s="329">
        <v>0</v>
      </c>
      <c r="G38" s="329" t="s">
        <v>1520</v>
      </c>
    </row>
    <row r="39" spans="1:128" x14ac:dyDescent="0.25">
      <c r="A39" s="328" t="s">
        <v>1480</v>
      </c>
      <c r="B39" s="329" t="s">
        <v>1512</v>
      </c>
      <c r="C39" s="329" t="s">
        <v>1521</v>
      </c>
      <c r="D39" s="329" t="s">
        <v>1162</v>
      </c>
      <c r="E39" s="329" t="s">
        <v>1095</v>
      </c>
      <c r="F39" s="329">
        <v>0</v>
      </c>
      <c r="G39" s="329" t="s">
        <v>1522</v>
      </c>
    </row>
    <row r="40" spans="1:128" x14ac:dyDescent="0.25">
      <c r="A40" s="328" t="s">
        <v>1481</v>
      </c>
      <c r="B40" s="329" t="s">
        <v>1259</v>
      </c>
      <c r="C40" s="329" t="s">
        <v>1523</v>
      </c>
      <c r="D40" s="329" t="s">
        <v>1389</v>
      </c>
      <c r="E40" s="329" t="s">
        <v>1095</v>
      </c>
      <c r="F40" s="329">
        <v>0</v>
      </c>
      <c r="G40" s="329" t="s">
        <v>1522</v>
      </c>
    </row>
    <row r="41" spans="1:128" x14ac:dyDescent="0.25">
      <c r="A41" s="328" t="s">
        <v>1482</v>
      </c>
      <c r="B41" s="329" t="s">
        <v>1524</v>
      </c>
      <c r="C41" s="329" t="s">
        <v>1525</v>
      </c>
      <c r="D41" s="329" t="s">
        <v>1387</v>
      </c>
      <c r="E41" s="329" t="s">
        <v>1095</v>
      </c>
      <c r="F41" s="329">
        <v>0</v>
      </c>
      <c r="G41" s="329" t="s">
        <v>1522</v>
      </c>
    </row>
    <row r="42" spans="1:128" x14ac:dyDescent="0.25">
      <c r="A42" s="328" t="s">
        <v>1483</v>
      </c>
      <c r="B42" s="329" t="s">
        <v>1526</v>
      </c>
      <c r="C42" s="329" t="s">
        <v>1527</v>
      </c>
      <c r="D42" s="329" t="s">
        <v>1528</v>
      </c>
      <c r="E42" s="329" t="s">
        <v>1095</v>
      </c>
      <c r="F42" s="329">
        <v>0</v>
      </c>
      <c r="G42" s="329" t="s">
        <v>1522</v>
      </c>
    </row>
    <row r="43" spans="1:128" x14ac:dyDescent="0.25">
      <c r="A43" s="328" t="s">
        <v>1484</v>
      </c>
      <c r="B43" s="329" t="s">
        <v>1529</v>
      </c>
      <c r="C43" s="329" t="s">
        <v>1530</v>
      </c>
      <c r="D43" s="329" t="s">
        <v>1322</v>
      </c>
      <c r="E43" s="329" t="s">
        <v>1095</v>
      </c>
      <c r="F43" s="329">
        <v>0</v>
      </c>
      <c r="G43" s="329" t="s">
        <v>1522</v>
      </c>
    </row>
    <row r="44" spans="1:128" x14ac:dyDescent="0.25">
      <c r="A44" s="328" t="s">
        <v>1485</v>
      </c>
      <c r="B44" s="329" t="s">
        <v>1531</v>
      </c>
      <c r="C44" s="329" t="s">
        <v>1527</v>
      </c>
      <c r="D44" s="329" t="s">
        <v>1532</v>
      </c>
      <c r="E44" s="329" t="s">
        <v>1095</v>
      </c>
      <c r="F44" s="329">
        <v>0</v>
      </c>
      <c r="G44" s="329" t="s">
        <v>1522</v>
      </c>
    </row>
    <row r="45" spans="1:128" x14ac:dyDescent="0.25">
      <c r="A45" s="328" t="s">
        <v>1486</v>
      </c>
      <c r="B45" s="329" t="s">
        <v>1533</v>
      </c>
      <c r="C45" s="329" t="s">
        <v>1534</v>
      </c>
      <c r="D45" s="329" t="s">
        <v>1535</v>
      </c>
      <c r="E45" s="329" t="s">
        <v>1095</v>
      </c>
      <c r="F45" s="329">
        <v>0</v>
      </c>
      <c r="G45" s="329" t="s">
        <v>1522</v>
      </c>
    </row>
    <row r="46" spans="1:128" x14ac:dyDescent="0.25">
      <c r="A46" s="328" t="s">
        <v>1488</v>
      </c>
      <c r="B46" s="329" t="s">
        <v>1536</v>
      </c>
      <c r="C46" s="329" t="s">
        <v>1537</v>
      </c>
      <c r="D46" s="329" t="s">
        <v>1538</v>
      </c>
      <c r="E46" s="329" t="s">
        <v>1095</v>
      </c>
      <c r="F46" s="329">
        <v>0</v>
      </c>
      <c r="G46" s="329" t="s">
        <v>1522</v>
      </c>
    </row>
    <row r="47" spans="1:128" x14ac:dyDescent="0.25">
      <c r="A47" s="328" t="s">
        <v>1489</v>
      </c>
      <c r="B47" s="329" t="s">
        <v>1539</v>
      </c>
      <c r="C47" s="329" t="s">
        <v>1177</v>
      </c>
      <c r="D47" s="329" t="s">
        <v>1540</v>
      </c>
      <c r="E47" s="329" t="s">
        <v>1095</v>
      </c>
      <c r="F47" s="329">
        <v>0</v>
      </c>
      <c r="G47" s="329" t="s">
        <v>1522</v>
      </c>
    </row>
    <row r="48" spans="1:128" x14ac:dyDescent="0.25">
      <c r="A48" s="328" t="s">
        <v>1491</v>
      </c>
      <c r="B48" s="329" t="s">
        <v>1541</v>
      </c>
      <c r="C48" s="329" t="s">
        <v>1176</v>
      </c>
      <c r="D48" s="329" t="s">
        <v>1244</v>
      </c>
      <c r="E48" s="329" t="s">
        <v>1542</v>
      </c>
      <c r="F48" s="329">
        <v>0</v>
      </c>
      <c r="G48" s="329" t="s">
        <v>1543</v>
      </c>
    </row>
    <row r="49" spans="1:7" x14ac:dyDescent="0.25">
      <c r="A49" s="328" t="s">
        <v>1492</v>
      </c>
      <c r="B49" s="329" t="s">
        <v>1325</v>
      </c>
      <c r="C49" s="329" t="s">
        <v>1537</v>
      </c>
      <c r="D49" s="329" t="s">
        <v>1544</v>
      </c>
      <c r="E49" s="329" t="s">
        <v>1542</v>
      </c>
      <c r="F49" s="329">
        <v>0</v>
      </c>
      <c r="G49" s="329" t="s">
        <v>1543</v>
      </c>
    </row>
    <row r="50" spans="1:7" x14ac:dyDescent="0.25">
      <c r="A50" s="328" t="s">
        <v>1493</v>
      </c>
      <c r="B50" s="329" t="s">
        <v>1545</v>
      </c>
      <c r="C50" s="329" t="s">
        <v>1546</v>
      </c>
      <c r="D50" s="329" t="s">
        <v>1138</v>
      </c>
      <c r="E50" s="329" t="s">
        <v>1542</v>
      </c>
      <c r="F50" s="329">
        <v>0</v>
      </c>
      <c r="G50" s="329" t="s">
        <v>1543</v>
      </c>
    </row>
    <row r="51" spans="1:7" x14ac:dyDescent="0.25">
      <c r="A51" s="328" t="s">
        <v>1495</v>
      </c>
      <c r="B51" s="329" t="s">
        <v>1547</v>
      </c>
      <c r="C51" s="329" t="s">
        <v>1548</v>
      </c>
      <c r="D51" s="329" t="s">
        <v>1549</v>
      </c>
      <c r="E51" s="329" t="s">
        <v>1542</v>
      </c>
      <c r="F51" s="329">
        <v>0</v>
      </c>
      <c r="G51" s="329" t="s">
        <v>1543</v>
      </c>
    </row>
    <row r="52" spans="1:7" x14ac:dyDescent="0.25">
      <c r="A52" s="328" t="s">
        <v>1496</v>
      </c>
      <c r="B52" s="329" t="s">
        <v>1550</v>
      </c>
      <c r="C52" s="329" t="s">
        <v>1551</v>
      </c>
      <c r="D52" s="329" t="s">
        <v>1552</v>
      </c>
      <c r="E52" s="329" t="s">
        <v>1542</v>
      </c>
      <c r="F52" s="329">
        <v>0</v>
      </c>
      <c r="G52" s="329" t="s">
        <v>1543</v>
      </c>
    </row>
    <row r="53" spans="1:7" x14ac:dyDescent="0.25">
      <c r="A53" s="328" t="s">
        <v>1497</v>
      </c>
      <c r="B53" s="329" t="s">
        <v>1258</v>
      </c>
      <c r="C53" s="329" t="s">
        <v>1553</v>
      </c>
      <c r="D53" s="329" t="s">
        <v>1554</v>
      </c>
      <c r="E53" s="329" t="s">
        <v>1542</v>
      </c>
      <c r="F53" s="329">
        <v>0</v>
      </c>
      <c r="G53" s="329" t="s">
        <v>1543</v>
      </c>
    </row>
    <row r="54" spans="1:7" x14ac:dyDescent="0.25">
      <c r="A54" s="328" t="s">
        <v>1498</v>
      </c>
      <c r="B54" s="329" t="s">
        <v>1555</v>
      </c>
      <c r="C54" s="329" t="s">
        <v>1556</v>
      </c>
      <c r="D54" s="329" t="s">
        <v>1557</v>
      </c>
      <c r="E54" s="329" t="s">
        <v>1542</v>
      </c>
      <c r="F54" s="329">
        <v>0</v>
      </c>
      <c r="G54" s="329" t="s">
        <v>1543</v>
      </c>
    </row>
    <row r="55" spans="1:7" x14ac:dyDescent="0.25">
      <c r="A55" s="328" t="s">
        <v>1499</v>
      </c>
      <c r="B55" s="329" t="s">
        <v>1325</v>
      </c>
      <c r="C55" s="329" t="s">
        <v>1558</v>
      </c>
      <c r="D55" s="329" t="s">
        <v>1559</v>
      </c>
      <c r="E55" s="329" t="s">
        <v>1542</v>
      </c>
      <c r="F55" s="329">
        <v>0</v>
      </c>
      <c r="G55" s="329" t="s">
        <v>1543</v>
      </c>
    </row>
    <row r="56" spans="1:7" x14ac:dyDescent="0.25">
      <c r="A56" s="328" t="s">
        <v>1500</v>
      </c>
      <c r="B56" s="329" t="s">
        <v>1325</v>
      </c>
      <c r="C56" s="329" t="s">
        <v>1560</v>
      </c>
      <c r="D56" s="329" t="s">
        <v>1561</v>
      </c>
      <c r="E56" s="329" t="s">
        <v>1542</v>
      </c>
      <c r="F56" s="329">
        <v>0</v>
      </c>
      <c r="G56" s="329" t="s">
        <v>1543</v>
      </c>
    </row>
    <row r="57" spans="1:7" x14ac:dyDescent="0.25">
      <c r="A57" s="328" t="s">
        <v>1501</v>
      </c>
      <c r="B57" s="329" t="s">
        <v>1562</v>
      </c>
      <c r="C57" s="329" t="s">
        <v>1563</v>
      </c>
      <c r="D57" s="329" t="s">
        <v>1564</v>
      </c>
      <c r="E57" s="329" t="s">
        <v>1542</v>
      </c>
      <c r="F57" s="329">
        <v>0</v>
      </c>
      <c r="G57" s="329" t="s">
        <v>1543</v>
      </c>
    </row>
    <row r="58" spans="1:7" x14ac:dyDescent="0.25">
      <c r="A58" s="328" t="s">
        <v>1502</v>
      </c>
      <c r="B58" s="329" t="s">
        <v>1565</v>
      </c>
      <c r="C58" s="329" t="s">
        <v>1566</v>
      </c>
      <c r="D58" s="329" t="s">
        <v>1567</v>
      </c>
      <c r="E58" s="329" t="s">
        <v>1542</v>
      </c>
      <c r="F58" s="329">
        <v>0</v>
      </c>
      <c r="G58" s="329" t="s">
        <v>1543</v>
      </c>
    </row>
    <row r="59" spans="1:7" x14ac:dyDescent="0.25">
      <c r="A59" s="328" t="s">
        <v>1503</v>
      </c>
      <c r="B59" s="329" t="s">
        <v>1568</v>
      </c>
      <c r="C59" s="329" t="s">
        <v>1558</v>
      </c>
      <c r="D59" s="329" t="s">
        <v>1246</v>
      </c>
      <c r="E59" s="329" t="s">
        <v>1542</v>
      </c>
      <c r="F59" s="329">
        <v>0</v>
      </c>
      <c r="G59" s="329" t="s">
        <v>1543</v>
      </c>
    </row>
    <row r="60" spans="1:7" x14ac:dyDescent="0.25">
      <c r="B60" s="327" t="s">
        <v>969</v>
      </c>
      <c r="C60" s="327" t="s">
        <v>944</v>
      </c>
      <c r="D60" s="327" t="s">
        <v>944</v>
      </c>
      <c r="E60" s="327" t="s">
        <v>945</v>
      </c>
      <c r="F60" s="327" t="s">
        <v>887</v>
      </c>
      <c r="G60" s="327" t="s">
        <v>970</v>
      </c>
    </row>
    <row r="61" spans="1:7" x14ac:dyDescent="0.25">
      <c r="A61" s="328" t="s">
        <v>1476</v>
      </c>
      <c r="B61" s="329" t="s">
        <v>1184</v>
      </c>
      <c r="C61" s="329" t="s">
        <v>1569</v>
      </c>
      <c r="D61" s="329" t="s">
        <v>1570</v>
      </c>
      <c r="E61" s="329" t="s">
        <v>1099</v>
      </c>
      <c r="F61" s="329" t="s">
        <v>1571</v>
      </c>
      <c r="G61" s="329" t="s">
        <v>1572</v>
      </c>
    </row>
    <row r="62" spans="1:7" x14ac:dyDescent="0.25">
      <c r="A62" s="328" t="s">
        <v>1477</v>
      </c>
      <c r="B62" s="329" t="s">
        <v>1573</v>
      </c>
      <c r="C62" s="329" t="s">
        <v>1574</v>
      </c>
      <c r="D62" s="329" t="s">
        <v>1575</v>
      </c>
      <c r="E62" s="329" t="s">
        <v>1576</v>
      </c>
      <c r="F62" s="329" t="s">
        <v>1577</v>
      </c>
      <c r="G62" s="329" t="s">
        <v>1578</v>
      </c>
    </row>
    <row r="63" spans="1:7" x14ac:dyDescent="0.25">
      <c r="A63" s="328" t="s">
        <v>1478</v>
      </c>
      <c r="B63" s="329" t="s">
        <v>1183</v>
      </c>
      <c r="C63" s="329" t="s">
        <v>1579</v>
      </c>
      <c r="D63" s="329" t="s">
        <v>1580</v>
      </c>
      <c r="E63" s="329" t="s">
        <v>1581</v>
      </c>
      <c r="F63" s="329" t="s">
        <v>1577</v>
      </c>
      <c r="G63" s="329" t="s">
        <v>1578</v>
      </c>
    </row>
    <row r="64" spans="1:7" x14ac:dyDescent="0.25">
      <c r="A64" s="328" t="s">
        <v>1479</v>
      </c>
      <c r="B64" s="329" t="s">
        <v>1582</v>
      </c>
      <c r="C64" s="329" t="s">
        <v>1583</v>
      </c>
      <c r="D64" s="329" t="s">
        <v>1584</v>
      </c>
      <c r="E64" s="329" t="s">
        <v>1585</v>
      </c>
      <c r="F64" s="329" t="s">
        <v>1577</v>
      </c>
      <c r="G64" s="329" t="s">
        <v>1578</v>
      </c>
    </row>
    <row r="65" spans="1:7" x14ac:dyDescent="0.25">
      <c r="A65" s="328" t="s">
        <v>1480</v>
      </c>
      <c r="B65" s="329" t="s">
        <v>1186</v>
      </c>
      <c r="C65" s="329" t="s">
        <v>1586</v>
      </c>
      <c r="D65" s="329" t="s">
        <v>1329</v>
      </c>
      <c r="E65" s="329" t="s">
        <v>1587</v>
      </c>
      <c r="F65" s="329" t="s">
        <v>1577</v>
      </c>
      <c r="G65" s="329" t="s">
        <v>1578</v>
      </c>
    </row>
    <row r="66" spans="1:7" x14ac:dyDescent="0.25">
      <c r="A66" s="328" t="s">
        <v>1481</v>
      </c>
      <c r="B66" s="329" t="s">
        <v>1588</v>
      </c>
      <c r="C66" s="329" t="s">
        <v>1586</v>
      </c>
      <c r="D66" s="329" t="s">
        <v>1329</v>
      </c>
      <c r="E66" s="329" t="s">
        <v>1180</v>
      </c>
      <c r="F66" s="329" t="s">
        <v>1577</v>
      </c>
      <c r="G66" s="329" t="s">
        <v>1578</v>
      </c>
    </row>
    <row r="67" spans="1:7" x14ac:dyDescent="0.25">
      <c r="A67" s="328" t="s">
        <v>1482</v>
      </c>
      <c r="B67" s="329" t="s">
        <v>1589</v>
      </c>
      <c r="C67" s="329" t="s">
        <v>1586</v>
      </c>
      <c r="D67" s="329" t="s">
        <v>1329</v>
      </c>
      <c r="E67" s="329" t="s">
        <v>1590</v>
      </c>
      <c r="F67" s="329" t="s">
        <v>1577</v>
      </c>
      <c r="G67" s="329" t="s">
        <v>1578</v>
      </c>
    </row>
    <row r="68" spans="1:7" x14ac:dyDescent="0.25">
      <c r="A68" s="328" t="s">
        <v>1483</v>
      </c>
      <c r="B68" s="329" t="s">
        <v>1087</v>
      </c>
      <c r="C68" s="329" t="s">
        <v>1586</v>
      </c>
      <c r="D68" s="329" t="s">
        <v>1329</v>
      </c>
      <c r="E68" s="329" t="s">
        <v>1181</v>
      </c>
      <c r="F68" s="329" t="s">
        <v>1577</v>
      </c>
      <c r="G68" s="329" t="s">
        <v>1578</v>
      </c>
    </row>
    <row r="69" spans="1:7" x14ac:dyDescent="0.25">
      <c r="A69" s="328" t="s">
        <v>1484</v>
      </c>
      <c r="B69" s="329" t="s">
        <v>1591</v>
      </c>
      <c r="C69" s="329" t="s">
        <v>1586</v>
      </c>
      <c r="D69" s="329" t="s">
        <v>1329</v>
      </c>
      <c r="E69" s="329" t="s">
        <v>1096</v>
      </c>
      <c r="F69" s="329" t="s">
        <v>1577</v>
      </c>
      <c r="G69" s="329" t="s">
        <v>1578</v>
      </c>
    </row>
    <row r="70" spans="1:7" x14ac:dyDescent="0.25">
      <c r="A70" s="328" t="s">
        <v>1485</v>
      </c>
      <c r="B70" s="329" t="s">
        <v>1591</v>
      </c>
      <c r="C70" s="329" t="s">
        <v>1586</v>
      </c>
      <c r="D70" s="329" t="s">
        <v>1329</v>
      </c>
      <c r="E70" s="329" t="s">
        <v>1096</v>
      </c>
      <c r="F70" s="329" t="s">
        <v>1577</v>
      </c>
      <c r="G70" s="329" t="s">
        <v>1578</v>
      </c>
    </row>
    <row r="71" spans="1:7" x14ac:dyDescent="0.25">
      <c r="A71" s="328" t="s">
        <v>1486</v>
      </c>
      <c r="B71" s="329" t="s">
        <v>1490</v>
      </c>
      <c r="C71" s="329" t="s">
        <v>1586</v>
      </c>
      <c r="D71" s="329" t="s">
        <v>1329</v>
      </c>
      <c r="E71" s="329" t="s">
        <v>1318</v>
      </c>
      <c r="F71" s="329" t="s">
        <v>1577</v>
      </c>
      <c r="G71" s="329" t="s">
        <v>1578</v>
      </c>
    </row>
    <row r="72" spans="1:7" x14ac:dyDescent="0.25">
      <c r="A72" s="328" t="s">
        <v>1488</v>
      </c>
      <c r="B72" s="329" t="s">
        <v>1332</v>
      </c>
      <c r="C72" s="329" t="s">
        <v>1586</v>
      </c>
      <c r="D72" s="329" t="s">
        <v>1329</v>
      </c>
      <c r="E72" s="329" t="s">
        <v>1592</v>
      </c>
      <c r="F72" s="329" t="s">
        <v>1577</v>
      </c>
      <c r="G72" s="329" t="s">
        <v>1578</v>
      </c>
    </row>
    <row r="73" spans="1:7" x14ac:dyDescent="0.25">
      <c r="A73" s="328" t="s">
        <v>1489</v>
      </c>
      <c r="B73" s="329" t="s">
        <v>1593</v>
      </c>
      <c r="C73" s="329" t="s">
        <v>1586</v>
      </c>
      <c r="D73" s="329" t="s">
        <v>1329</v>
      </c>
      <c r="E73" s="329" t="s">
        <v>1594</v>
      </c>
      <c r="F73" s="329" t="s">
        <v>1577</v>
      </c>
      <c r="G73" s="329" t="s">
        <v>1578</v>
      </c>
    </row>
    <row r="74" spans="1:7" x14ac:dyDescent="0.25">
      <c r="A74" s="328" t="s">
        <v>1491</v>
      </c>
      <c r="B74" s="329" t="s">
        <v>1097</v>
      </c>
      <c r="C74" s="329" t="s">
        <v>1595</v>
      </c>
      <c r="D74" s="329" t="s">
        <v>1596</v>
      </c>
      <c r="E74" s="329" t="s">
        <v>1597</v>
      </c>
      <c r="F74" s="329" t="s">
        <v>1598</v>
      </c>
      <c r="G74" s="329" t="s">
        <v>1599</v>
      </c>
    </row>
    <row r="75" spans="1:7" x14ac:dyDescent="0.25">
      <c r="A75" s="328" t="s">
        <v>1492</v>
      </c>
      <c r="B75" s="329" t="s">
        <v>1600</v>
      </c>
      <c r="C75" s="329" t="s">
        <v>1595</v>
      </c>
      <c r="D75" s="329" t="s">
        <v>1596</v>
      </c>
      <c r="E75" s="329" t="s">
        <v>1601</v>
      </c>
      <c r="F75" s="329" t="s">
        <v>1598</v>
      </c>
      <c r="G75" s="329" t="s">
        <v>1599</v>
      </c>
    </row>
    <row r="76" spans="1:7" x14ac:dyDescent="0.25">
      <c r="A76" s="328" t="s">
        <v>1493</v>
      </c>
      <c r="B76" s="329" t="s">
        <v>1602</v>
      </c>
      <c r="C76" s="329" t="s">
        <v>1595</v>
      </c>
      <c r="D76" s="329" t="s">
        <v>1596</v>
      </c>
      <c r="E76" s="329" t="s">
        <v>1603</v>
      </c>
      <c r="F76" s="329" t="s">
        <v>1598</v>
      </c>
      <c r="G76" s="329" t="s">
        <v>1599</v>
      </c>
    </row>
    <row r="77" spans="1:7" x14ac:dyDescent="0.25">
      <c r="A77" s="328" t="s">
        <v>1495</v>
      </c>
      <c r="B77" s="329" t="s">
        <v>1604</v>
      </c>
      <c r="C77" s="329" t="s">
        <v>1595</v>
      </c>
      <c r="D77" s="329" t="s">
        <v>1596</v>
      </c>
      <c r="E77" s="329" t="s">
        <v>1153</v>
      </c>
      <c r="F77" s="329" t="s">
        <v>1598</v>
      </c>
      <c r="G77" s="329" t="s">
        <v>1599</v>
      </c>
    </row>
    <row r="78" spans="1:7" x14ac:dyDescent="0.25">
      <c r="A78" s="328" t="s">
        <v>1496</v>
      </c>
      <c r="B78" s="329" t="s">
        <v>1173</v>
      </c>
      <c r="C78" s="329" t="s">
        <v>1595</v>
      </c>
      <c r="D78" s="329" t="s">
        <v>1596</v>
      </c>
      <c r="E78" s="329" t="s">
        <v>1605</v>
      </c>
      <c r="F78" s="329" t="s">
        <v>1598</v>
      </c>
      <c r="G78" s="329" t="s">
        <v>1599</v>
      </c>
    </row>
    <row r="79" spans="1:7" x14ac:dyDescent="0.25">
      <c r="A79" s="328" t="s">
        <v>1497</v>
      </c>
      <c r="B79" s="329" t="s">
        <v>1606</v>
      </c>
      <c r="C79" s="329" t="s">
        <v>1595</v>
      </c>
      <c r="D79" s="329" t="s">
        <v>1596</v>
      </c>
      <c r="E79" s="329" t="s">
        <v>1607</v>
      </c>
      <c r="F79" s="329" t="s">
        <v>1598</v>
      </c>
      <c r="G79" s="329" t="s">
        <v>1599</v>
      </c>
    </row>
    <row r="80" spans="1:7" x14ac:dyDescent="0.25">
      <c r="A80" s="328" t="s">
        <v>1498</v>
      </c>
      <c r="B80" s="329" t="s">
        <v>1098</v>
      </c>
      <c r="C80" s="329" t="s">
        <v>1595</v>
      </c>
      <c r="D80" s="329" t="s">
        <v>1596</v>
      </c>
      <c r="E80" s="329" t="s">
        <v>1179</v>
      </c>
      <c r="F80" s="329" t="s">
        <v>1598</v>
      </c>
      <c r="G80" s="329" t="s">
        <v>1599</v>
      </c>
    </row>
    <row r="81" spans="1:7" x14ac:dyDescent="0.25">
      <c r="A81" s="328" t="s">
        <v>1499</v>
      </c>
      <c r="B81" s="329" t="s">
        <v>1608</v>
      </c>
      <c r="C81" s="329" t="s">
        <v>1595</v>
      </c>
      <c r="D81" s="329" t="s">
        <v>1596</v>
      </c>
      <c r="E81" s="329" t="s">
        <v>1597</v>
      </c>
      <c r="F81" s="329" t="s">
        <v>1598</v>
      </c>
      <c r="G81" s="329" t="s">
        <v>1599</v>
      </c>
    </row>
    <row r="82" spans="1:7" x14ac:dyDescent="0.25">
      <c r="A82" s="328" t="s">
        <v>1500</v>
      </c>
      <c r="B82" s="329" t="s">
        <v>1282</v>
      </c>
      <c r="C82" s="329" t="s">
        <v>1595</v>
      </c>
      <c r="D82" s="329" t="s">
        <v>1596</v>
      </c>
      <c r="E82" s="329" t="s">
        <v>1328</v>
      </c>
      <c r="F82" s="329" t="s">
        <v>1598</v>
      </c>
      <c r="G82" s="329" t="s">
        <v>1599</v>
      </c>
    </row>
    <row r="83" spans="1:7" x14ac:dyDescent="0.25">
      <c r="A83" s="328" t="s">
        <v>1501</v>
      </c>
      <c r="B83" s="329" t="s">
        <v>1609</v>
      </c>
      <c r="C83" s="329" t="s">
        <v>1595</v>
      </c>
      <c r="D83" s="329" t="s">
        <v>1596</v>
      </c>
      <c r="E83" s="329" t="s">
        <v>1327</v>
      </c>
      <c r="F83" s="329" t="s">
        <v>1598</v>
      </c>
      <c r="G83" s="329" t="s">
        <v>1599</v>
      </c>
    </row>
    <row r="84" spans="1:7" x14ac:dyDescent="0.25">
      <c r="A84" s="328" t="s">
        <v>1502</v>
      </c>
      <c r="B84" s="329" t="s">
        <v>1610</v>
      </c>
      <c r="C84" s="329" t="s">
        <v>1595</v>
      </c>
      <c r="D84" s="329" t="s">
        <v>1596</v>
      </c>
      <c r="E84" s="329" t="s">
        <v>1611</v>
      </c>
      <c r="F84" s="329" t="s">
        <v>1598</v>
      </c>
      <c r="G84" s="329" t="s">
        <v>1599</v>
      </c>
    </row>
    <row r="85" spans="1:7" x14ac:dyDescent="0.25">
      <c r="A85" s="328" t="s">
        <v>1503</v>
      </c>
      <c r="B85" s="329" t="s">
        <v>1612</v>
      </c>
      <c r="C85" s="329" t="s">
        <v>1595</v>
      </c>
      <c r="D85" s="329" t="s">
        <v>1596</v>
      </c>
      <c r="E85" s="329" t="s">
        <v>1613</v>
      </c>
      <c r="F85" s="329" t="s">
        <v>1598</v>
      </c>
      <c r="G85" s="329" t="s">
        <v>1599</v>
      </c>
    </row>
    <row r="86" spans="1:7" x14ac:dyDescent="0.25">
      <c r="B86" s="327" t="s">
        <v>970</v>
      </c>
      <c r="C86" s="327" t="s">
        <v>888</v>
      </c>
      <c r="D86" s="327" t="s">
        <v>889</v>
      </c>
      <c r="E86" s="327" t="s">
        <v>890</v>
      </c>
      <c r="F86" s="327" t="s">
        <v>971</v>
      </c>
      <c r="G86" s="327" t="s">
        <v>994</v>
      </c>
    </row>
    <row r="87" spans="1:7" x14ac:dyDescent="0.25">
      <c r="A87" s="328" t="s">
        <v>1476</v>
      </c>
      <c r="B87" s="329" t="s">
        <v>1075</v>
      </c>
      <c r="C87" s="329" t="s">
        <v>1614</v>
      </c>
      <c r="D87" s="329" t="s">
        <v>1615</v>
      </c>
      <c r="E87" s="329" t="s">
        <v>1616</v>
      </c>
      <c r="F87" s="329" t="s">
        <v>1617</v>
      </c>
      <c r="G87" s="329" t="s">
        <v>941</v>
      </c>
    </row>
    <row r="88" spans="1:7" x14ac:dyDescent="0.25">
      <c r="A88" s="328" t="s">
        <v>1477</v>
      </c>
      <c r="B88" s="329" t="s">
        <v>1618</v>
      </c>
      <c r="C88" s="329" t="s">
        <v>1331</v>
      </c>
      <c r="D88" s="329" t="s">
        <v>1619</v>
      </c>
      <c r="E88" s="329" t="s">
        <v>1620</v>
      </c>
      <c r="F88" s="329" t="s">
        <v>1621</v>
      </c>
      <c r="G88" s="329" t="s">
        <v>941</v>
      </c>
    </row>
    <row r="89" spans="1:7" x14ac:dyDescent="0.25">
      <c r="A89" s="328" t="s">
        <v>1478</v>
      </c>
      <c r="B89" s="329" t="s">
        <v>1618</v>
      </c>
      <c r="C89" s="329" t="s">
        <v>1330</v>
      </c>
      <c r="D89" s="329" t="s">
        <v>1622</v>
      </c>
      <c r="E89" s="329" t="s">
        <v>1620</v>
      </c>
      <c r="F89" s="329" t="s">
        <v>1621</v>
      </c>
      <c r="G89" s="329" t="s">
        <v>941</v>
      </c>
    </row>
    <row r="90" spans="1:7" x14ac:dyDescent="0.25">
      <c r="A90" s="328" t="s">
        <v>1479</v>
      </c>
      <c r="B90" s="329" t="s">
        <v>1618</v>
      </c>
      <c r="C90" s="329" t="s">
        <v>1623</v>
      </c>
      <c r="D90" s="329" t="s">
        <v>1624</v>
      </c>
      <c r="E90" s="329" t="s">
        <v>1625</v>
      </c>
      <c r="F90" s="329" t="s">
        <v>1621</v>
      </c>
      <c r="G90" s="329" t="s">
        <v>941</v>
      </c>
    </row>
    <row r="91" spans="1:7" x14ac:dyDescent="0.25">
      <c r="A91" s="328" t="s">
        <v>1480</v>
      </c>
      <c r="B91" s="329" t="s">
        <v>1618</v>
      </c>
      <c r="C91" s="329" t="s">
        <v>1487</v>
      </c>
      <c r="D91" s="329" t="s">
        <v>1626</v>
      </c>
      <c r="E91" s="329" t="s">
        <v>1627</v>
      </c>
      <c r="F91" s="329" t="s">
        <v>1628</v>
      </c>
      <c r="G91" s="329" t="s">
        <v>941</v>
      </c>
    </row>
    <row r="92" spans="1:7" x14ac:dyDescent="0.25">
      <c r="A92" s="328" t="s">
        <v>1481</v>
      </c>
      <c r="B92" s="329" t="s">
        <v>1618</v>
      </c>
      <c r="C92" s="329" t="s">
        <v>1629</v>
      </c>
      <c r="D92" s="329" t="s">
        <v>1619</v>
      </c>
      <c r="E92" s="329" t="s">
        <v>1620</v>
      </c>
      <c r="F92" s="329" t="s">
        <v>1628</v>
      </c>
      <c r="G92" s="329" t="s">
        <v>941</v>
      </c>
    </row>
    <row r="93" spans="1:7" x14ac:dyDescent="0.25">
      <c r="A93" s="328" t="s">
        <v>1482</v>
      </c>
      <c r="B93" s="329" t="s">
        <v>1618</v>
      </c>
      <c r="C93" s="329" t="s">
        <v>1630</v>
      </c>
      <c r="D93" s="329" t="s">
        <v>1631</v>
      </c>
      <c r="E93" s="329" t="s">
        <v>1632</v>
      </c>
      <c r="F93" s="329" t="s">
        <v>1628</v>
      </c>
      <c r="G93" s="329" t="s">
        <v>941</v>
      </c>
    </row>
    <row r="94" spans="1:7" x14ac:dyDescent="0.25">
      <c r="A94" s="328" t="s">
        <v>1483</v>
      </c>
      <c r="B94" s="329" t="s">
        <v>1618</v>
      </c>
      <c r="C94" s="329" t="s">
        <v>1633</v>
      </c>
      <c r="D94" s="329" t="s">
        <v>1634</v>
      </c>
      <c r="E94" s="329" t="s">
        <v>1635</v>
      </c>
      <c r="F94" s="329" t="s">
        <v>1628</v>
      </c>
      <c r="G94" s="329" t="s">
        <v>941</v>
      </c>
    </row>
    <row r="95" spans="1:7" x14ac:dyDescent="0.25">
      <c r="A95" s="328" t="s">
        <v>1484</v>
      </c>
      <c r="B95" s="329" t="s">
        <v>1618</v>
      </c>
      <c r="C95" s="329" t="s">
        <v>1636</v>
      </c>
      <c r="D95" s="329" t="s">
        <v>1637</v>
      </c>
      <c r="E95" s="329" t="s">
        <v>1638</v>
      </c>
      <c r="F95" s="329" t="s">
        <v>1628</v>
      </c>
      <c r="G95" s="329" t="s">
        <v>941</v>
      </c>
    </row>
    <row r="96" spans="1:7" x14ac:dyDescent="0.25">
      <c r="A96" s="328" t="s">
        <v>1485</v>
      </c>
      <c r="B96" s="329" t="s">
        <v>1618</v>
      </c>
      <c r="C96" s="329" t="s">
        <v>1636</v>
      </c>
      <c r="D96" s="329" t="s">
        <v>1639</v>
      </c>
      <c r="E96" s="329" t="s">
        <v>1135</v>
      </c>
      <c r="F96" s="329" t="s">
        <v>1628</v>
      </c>
      <c r="G96" s="329" t="s">
        <v>941</v>
      </c>
    </row>
    <row r="97" spans="1:7" x14ac:dyDescent="0.25">
      <c r="A97" s="328" t="s">
        <v>1486</v>
      </c>
      <c r="B97" s="329" t="s">
        <v>1618</v>
      </c>
      <c r="C97" s="329" t="s">
        <v>1640</v>
      </c>
      <c r="D97" s="329" t="s">
        <v>1631</v>
      </c>
      <c r="E97" s="329" t="s">
        <v>1631</v>
      </c>
      <c r="F97" s="329" t="s">
        <v>1641</v>
      </c>
      <c r="G97" s="329" t="s">
        <v>941</v>
      </c>
    </row>
    <row r="98" spans="1:7" x14ac:dyDescent="0.25">
      <c r="A98" s="328" t="s">
        <v>1488</v>
      </c>
      <c r="B98" s="329" t="s">
        <v>1618</v>
      </c>
      <c r="C98" s="329" t="s">
        <v>1642</v>
      </c>
      <c r="D98" s="329" t="s">
        <v>1631</v>
      </c>
      <c r="E98" s="329" t="s">
        <v>1631</v>
      </c>
      <c r="F98" s="329" t="s">
        <v>1641</v>
      </c>
      <c r="G98" s="329" t="s">
        <v>941</v>
      </c>
    </row>
    <row r="99" spans="1:7" x14ac:dyDescent="0.25">
      <c r="A99" s="328" t="s">
        <v>1489</v>
      </c>
      <c r="B99" s="329" t="s">
        <v>1618</v>
      </c>
      <c r="C99" s="329" t="s">
        <v>1643</v>
      </c>
      <c r="D99" s="329" t="s">
        <v>1631</v>
      </c>
      <c r="E99" s="329" t="s">
        <v>1631</v>
      </c>
      <c r="F99" s="329" t="s">
        <v>1641</v>
      </c>
      <c r="G99" s="329" t="s">
        <v>941</v>
      </c>
    </row>
    <row r="100" spans="1:7" x14ac:dyDescent="0.25">
      <c r="A100" s="328" t="s">
        <v>1491</v>
      </c>
      <c r="B100" s="329" t="s">
        <v>1644</v>
      </c>
      <c r="C100" s="329" t="s">
        <v>1319</v>
      </c>
      <c r="D100" s="329" t="s">
        <v>1645</v>
      </c>
      <c r="E100" s="329" t="s">
        <v>1646</v>
      </c>
      <c r="F100" s="329" t="s">
        <v>1647</v>
      </c>
      <c r="G100" s="329" t="s">
        <v>941</v>
      </c>
    </row>
    <row r="101" spans="1:7" x14ac:dyDescent="0.25">
      <c r="A101" s="328" t="s">
        <v>1492</v>
      </c>
      <c r="B101" s="329" t="s">
        <v>1644</v>
      </c>
      <c r="C101" s="329" t="s">
        <v>1648</v>
      </c>
      <c r="D101" s="329" t="s">
        <v>1649</v>
      </c>
      <c r="E101" s="329" t="s">
        <v>1135</v>
      </c>
      <c r="F101" s="329" t="s">
        <v>1647</v>
      </c>
      <c r="G101" s="329" t="s">
        <v>941</v>
      </c>
    </row>
    <row r="102" spans="1:7" x14ac:dyDescent="0.25">
      <c r="A102" s="328" t="s">
        <v>1493</v>
      </c>
      <c r="B102" s="329" t="s">
        <v>1644</v>
      </c>
      <c r="C102" s="329" t="s">
        <v>1650</v>
      </c>
      <c r="D102" s="329" t="s">
        <v>1649</v>
      </c>
      <c r="E102" s="329" t="s">
        <v>1651</v>
      </c>
      <c r="F102" s="329" t="s">
        <v>1647</v>
      </c>
      <c r="G102" s="329" t="s">
        <v>941</v>
      </c>
    </row>
    <row r="103" spans="1:7" x14ac:dyDescent="0.25">
      <c r="A103" s="328" t="s">
        <v>1495</v>
      </c>
      <c r="B103" s="329" t="s">
        <v>1644</v>
      </c>
      <c r="C103" s="329" t="s">
        <v>1494</v>
      </c>
      <c r="D103" s="329" t="s">
        <v>1649</v>
      </c>
      <c r="E103" s="329" t="s">
        <v>1651</v>
      </c>
      <c r="F103" s="329" t="s">
        <v>1652</v>
      </c>
      <c r="G103" s="329" t="s">
        <v>941</v>
      </c>
    </row>
    <row r="104" spans="1:7" x14ac:dyDescent="0.25">
      <c r="A104" s="328" t="s">
        <v>1496</v>
      </c>
      <c r="B104" s="329" t="s">
        <v>1644</v>
      </c>
      <c r="C104" s="329" t="s">
        <v>1653</v>
      </c>
      <c r="D104" s="329" t="s">
        <v>1649</v>
      </c>
      <c r="E104" s="329" t="s">
        <v>1651</v>
      </c>
      <c r="F104" s="329" t="s">
        <v>1652</v>
      </c>
      <c r="G104" s="329" t="s">
        <v>941</v>
      </c>
    </row>
    <row r="105" spans="1:7" x14ac:dyDescent="0.25">
      <c r="A105" s="328" t="s">
        <v>1497</v>
      </c>
      <c r="B105" s="329" t="s">
        <v>1644</v>
      </c>
      <c r="C105" s="329" t="s">
        <v>1654</v>
      </c>
      <c r="D105" s="329" t="s">
        <v>1655</v>
      </c>
      <c r="E105" s="329" t="s">
        <v>1651</v>
      </c>
      <c r="F105" s="329" t="s">
        <v>1652</v>
      </c>
      <c r="G105" s="329" t="s">
        <v>941</v>
      </c>
    </row>
    <row r="106" spans="1:7" x14ac:dyDescent="0.25">
      <c r="A106" s="328" t="s">
        <v>1498</v>
      </c>
      <c r="B106" s="329" t="s">
        <v>1644</v>
      </c>
      <c r="C106" s="329" t="s">
        <v>1076</v>
      </c>
      <c r="D106" s="329" t="s">
        <v>1656</v>
      </c>
      <c r="E106" s="329" t="s">
        <v>1651</v>
      </c>
      <c r="F106" s="329" t="s">
        <v>1652</v>
      </c>
      <c r="G106" s="329" t="s">
        <v>941</v>
      </c>
    </row>
    <row r="107" spans="1:7" x14ac:dyDescent="0.25">
      <c r="A107" s="328" t="s">
        <v>1499</v>
      </c>
      <c r="B107" s="329" t="s">
        <v>1644</v>
      </c>
      <c r="C107" s="329" t="s">
        <v>1332</v>
      </c>
      <c r="D107" s="329" t="s">
        <v>1656</v>
      </c>
      <c r="E107" s="329" t="s">
        <v>1651</v>
      </c>
      <c r="F107" s="329" t="s">
        <v>1652</v>
      </c>
      <c r="G107" s="329" t="s">
        <v>941</v>
      </c>
    </row>
    <row r="108" spans="1:7" x14ac:dyDescent="0.25">
      <c r="A108" s="328" t="s">
        <v>1500</v>
      </c>
      <c r="B108" s="329" t="s">
        <v>1644</v>
      </c>
      <c r="C108" s="329" t="s">
        <v>1320</v>
      </c>
      <c r="D108" s="329" t="s">
        <v>1656</v>
      </c>
      <c r="E108" s="329" t="s">
        <v>1651</v>
      </c>
      <c r="F108" s="329" t="s">
        <v>1652</v>
      </c>
      <c r="G108" s="329" t="s">
        <v>941</v>
      </c>
    </row>
    <row r="109" spans="1:7" x14ac:dyDescent="0.25">
      <c r="A109" s="328" t="s">
        <v>1501</v>
      </c>
      <c r="B109" s="329" t="s">
        <v>1644</v>
      </c>
      <c r="C109" s="329" t="s">
        <v>1657</v>
      </c>
      <c r="D109" s="329" t="s">
        <v>1656</v>
      </c>
      <c r="E109" s="329" t="s">
        <v>1651</v>
      </c>
      <c r="F109" s="329" t="s">
        <v>1652</v>
      </c>
      <c r="G109" s="329" t="s">
        <v>941</v>
      </c>
    </row>
    <row r="110" spans="1:7" x14ac:dyDescent="0.25">
      <c r="A110" s="328" t="s">
        <v>1502</v>
      </c>
      <c r="B110" s="329" t="s">
        <v>1644</v>
      </c>
      <c r="C110" s="329" t="s">
        <v>1658</v>
      </c>
      <c r="D110" s="329" t="s">
        <v>1656</v>
      </c>
      <c r="E110" s="329" t="s">
        <v>1651</v>
      </c>
      <c r="F110" s="329" t="s">
        <v>1652</v>
      </c>
      <c r="G110" s="329" t="s">
        <v>941</v>
      </c>
    </row>
    <row r="111" spans="1:7" x14ac:dyDescent="0.25">
      <c r="A111" s="328" t="s">
        <v>1503</v>
      </c>
      <c r="B111" s="329" t="s">
        <v>1644</v>
      </c>
      <c r="C111" s="329" t="s">
        <v>1659</v>
      </c>
      <c r="D111" s="329" t="s">
        <v>1656</v>
      </c>
      <c r="E111" s="329" t="s">
        <v>1651</v>
      </c>
      <c r="F111" s="329" t="s">
        <v>1652</v>
      </c>
      <c r="G111" s="329" t="s">
        <v>941</v>
      </c>
    </row>
    <row r="112" spans="1:7" x14ac:dyDescent="0.25">
      <c r="B112" s="327" t="s">
        <v>972</v>
      </c>
      <c r="C112" s="327" t="s">
        <v>973</v>
      </c>
      <c r="D112" s="327" t="s">
        <v>974</v>
      </c>
      <c r="E112" s="327" t="s">
        <v>891</v>
      </c>
      <c r="F112" s="327" t="s">
        <v>995</v>
      </c>
      <c r="G112" s="327" t="s">
        <v>975</v>
      </c>
    </row>
    <row r="113" spans="1:7" x14ac:dyDescent="0.25">
      <c r="A113" s="328" t="s">
        <v>1476</v>
      </c>
      <c r="B113" s="329">
        <v>0</v>
      </c>
      <c r="C113" s="329" t="s">
        <v>1660</v>
      </c>
      <c r="D113" s="329" t="s">
        <v>1661</v>
      </c>
      <c r="E113" s="329" t="s">
        <v>1662</v>
      </c>
      <c r="F113" s="329" t="s">
        <v>1663</v>
      </c>
      <c r="G113" s="329" t="s">
        <v>1664</v>
      </c>
    </row>
    <row r="114" spans="1:7" x14ac:dyDescent="0.25">
      <c r="A114" s="328" t="s">
        <v>1477</v>
      </c>
      <c r="B114" s="329">
        <v>0</v>
      </c>
      <c r="C114" s="329" t="s">
        <v>1665</v>
      </c>
      <c r="D114" s="329" t="s">
        <v>1666</v>
      </c>
      <c r="E114" s="329" t="s">
        <v>1667</v>
      </c>
      <c r="F114" s="329" t="s">
        <v>1333</v>
      </c>
      <c r="G114" s="329" t="s">
        <v>1668</v>
      </c>
    </row>
    <row r="115" spans="1:7" x14ac:dyDescent="0.25">
      <c r="A115" s="328" t="s">
        <v>1478</v>
      </c>
      <c r="B115" s="329">
        <v>0</v>
      </c>
      <c r="C115" s="329" t="s">
        <v>1665</v>
      </c>
      <c r="D115" s="329" t="s">
        <v>1666</v>
      </c>
      <c r="E115" s="329" t="s">
        <v>1667</v>
      </c>
      <c r="F115" s="329" t="s">
        <v>1333</v>
      </c>
      <c r="G115" s="329" t="s">
        <v>1669</v>
      </c>
    </row>
    <row r="116" spans="1:7" x14ac:dyDescent="0.25">
      <c r="A116" s="328" t="s">
        <v>1479</v>
      </c>
      <c r="B116" s="329">
        <v>0</v>
      </c>
      <c r="C116" s="329" t="s">
        <v>1665</v>
      </c>
      <c r="D116" s="329" t="s">
        <v>1666</v>
      </c>
      <c r="E116" s="329" t="s">
        <v>1667</v>
      </c>
      <c r="F116" s="329" t="s">
        <v>1333</v>
      </c>
      <c r="G116" s="329" t="s">
        <v>1670</v>
      </c>
    </row>
    <row r="117" spans="1:7" x14ac:dyDescent="0.25">
      <c r="A117" s="328" t="s">
        <v>1480</v>
      </c>
      <c r="B117" s="329">
        <v>0</v>
      </c>
      <c r="C117" s="329" t="s">
        <v>1671</v>
      </c>
      <c r="D117" s="329" t="s">
        <v>1666</v>
      </c>
      <c r="E117" s="329" t="s">
        <v>1667</v>
      </c>
      <c r="F117" s="329" t="s">
        <v>1333</v>
      </c>
      <c r="G117" s="329" t="s">
        <v>1672</v>
      </c>
    </row>
    <row r="118" spans="1:7" x14ac:dyDescent="0.25">
      <c r="A118" s="328" t="s">
        <v>1481</v>
      </c>
      <c r="B118" s="329">
        <v>0</v>
      </c>
      <c r="C118" s="329" t="s">
        <v>1673</v>
      </c>
      <c r="D118" s="329" t="s">
        <v>1666</v>
      </c>
      <c r="E118" s="329" t="s">
        <v>1674</v>
      </c>
      <c r="F118" s="329" t="s">
        <v>1333</v>
      </c>
      <c r="G118" s="329" t="s">
        <v>1675</v>
      </c>
    </row>
    <row r="119" spans="1:7" x14ac:dyDescent="0.25">
      <c r="A119" s="328" t="s">
        <v>1482</v>
      </c>
      <c r="B119" s="329">
        <v>0</v>
      </c>
      <c r="C119" s="329" t="s">
        <v>1673</v>
      </c>
      <c r="D119" s="329" t="s">
        <v>1666</v>
      </c>
      <c r="E119" s="329" t="s">
        <v>1676</v>
      </c>
      <c r="F119" s="329" t="s">
        <v>1333</v>
      </c>
      <c r="G119" s="329" t="s">
        <v>1187</v>
      </c>
    </row>
    <row r="120" spans="1:7" x14ac:dyDescent="0.25">
      <c r="A120" s="328" t="s">
        <v>1483</v>
      </c>
      <c r="B120" s="329">
        <v>0</v>
      </c>
      <c r="C120" s="329" t="s">
        <v>1673</v>
      </c>
      <c r="D120" s="329" t="s">
        <v>1666</v>
      </c>
      <c r="E120" s="329" t="s">
        <v>1676</v>
      </c>
      <c r="F120" s="329" t="s">
        <v>1333</v>
      </c>
      <c r="G120" s="329" t="s">
        <v>1677</v>
      </c>
    </row>
    <row r="121" spans="1:7" x14ac:dyDescent="0.25">
      <c r="A121" s="328" t="s">
        <v>1484</v>
      </c>
      <c r="B121" s="329">
        <v>0</v>
      </c>
      <c r="C121" s="329" t="s">
        <v>1673</v>
      </c>
      <c r="D121" s="329" t="s">
        <v>1678</v>
      </c>
      <c r="E121" s="329" t="s">
        <v>1676</v>
      </c>
      <c r="F121" s="329" t="s">
        <v>1333</v>
      </c>
      <c r="G121" s="329" t="s">
        <v>1679</v>
      </c>
    </row>
    <row r="122" spans="1:7" x14ac:dyDescent="0.25">
      <c r="A122" s="328" t="s">
        <v>1485</v>
      </c>
      <c r="B122" s="329">
        <v>0</v>
      </c>
      <c r="C122" s="329" t="s">
        <v>1673</v>
      </c>
      <c r="D122" s="329" t="s">
        <v>1680</v>
      </c>
      <c r="E122" s="329" t="s">
        <v>1676</v>
      </c>
      <c r="F122" s="329" t="s">
        <v>1333</v>
      </c>
      <c r="G122" s="329" t="s">
        <v>1681</v>
      </c>
    </row>
    <row r="123" spans="1:7" x14ac:dyDescent="0.25">
      <c r="A123" s="328" t="s">
        <v>1486</v>
      </c>
      <c r="B123" s="329">
        <v>0</v>
      </c>
      <c r="C123" s="329" t="s">
        <v>1682</v>
      </c>
      <c r="D123" s="329" t="s">
        <v>1680</v>
      </c>
      <c r="E123" s="329" t="s">
        <v>1676</v>
      </c>
      <c r="F123" s="329" t="s">
        <v>1333</v>
      </c>
      <c r="G123" s="329" t="s">
        <v>1683</v>
      </c>
    </row>
    <row r="124" spans="1:7" x14ac:dyDescent="0.25">
      <c r="A124" s="328" t="s">
        <v>1488</v>
      </c>
      <c r="B124" s="329">
        <v>0</v>
      </c>
      <c r="C124" s="329" t="s">
        <v>1684</v>
      </c>
      <c r="D124" s="329" t="s">
        <v>1680</v>
      </c>
      <c r="E124" s="329" t="s">
        <v>1676</v>
      </c>
      <c r="F124" s="329" t="s">
        <v>1333</v>
      </c>
      <c r="G124" s="329" t="s">
        <v>1679</v>
      </c>
    </row>
    <row r="125" spans="1:7" x14ac:dyDescent="0.25">
      <c r="A125" s="328" t="s">
        <v>1489</v>
      </c>
      <c r="B125" s="329">
        <v>0</v>
      </c>
      <c r="C125" s="329" t="s">
        <v>1684</v>
      </c>
      <c r="D125" s="329" t="s">
        <v>1685</v>
      </c>
      <c r="E125" s="329" t="s">
        <v>1686</v>
      </c>
      <c r="F125" s="329" t="s">
        <v>1687</v>
      </c>
      <c r="G125" s="329" t="s">
        <v>1688</v>
      </c>
    </row>
    <row r="126" spans="1:7" x14ac:dyDescent="0.25">
      <c r="A126" s="328" t="s">
        <v>1491</v>
      </c>
      <c r="B126" s="329">
        <v>0</v>
      </c>
      <c r="C126" s="329" t="s">
        <v>1689</v>
      </c>
      <c r="D126" s="329" t="s">
        <v>1690</v>
      </c>
      <c r="E126" s="329" t="s">
        <v>1691</v>
      </c>
      <c r="F126" s="329" t="s">
        <v>1335</v>
      </c>
      <c r="G126" s="329" t="s">
        <v>1692</v>
      </c>
    </row>
    <row r="127" spans="1:7" x14ac:dyDescent="0.25">
      <c r="A127" s="328" t="s">
        <v>1492</v>
      </c>
      <c r="B127" s="329">
        <v>0</v>
      </c>
      <c r="C127" s="329" t="s">
        <v>1689</v>
      </c>
      <c r="D127" s="329" t="s">
        <v>1693</v>
      </c>
      <c r="E127" s="329" t="s">
        <v>1691</v>
      </c>
      <c r="F127" s="329" t="s">
        <v>1335</v>
      </c>
      <c r="G127" s="329" t="s">
        <v>1694</v>
      </c>
    </row>
    <row r="128" spans="1:7" x14ac:dyDescent="0.25">
      <c r="A128" s="328" t="s">
        <v>1493</v>
      </c>
      <c r="B128" s="329">
        <v>0</v>
      </c>
      <c r="C128" s="329" t="s">
        <v>1689</v>
      </c>
      <c r="D128" s="329" t="s">
        <v>1695</v>
      </c>
      <c r="E128" s="329" t="s">
        <v>1691</v>
      </c>
      <c r="F128" s="329" t="s">
        <v>1335</v>
      </c>
      <c r="G128" s="329" t="s">
        <v>1696</v>
      </c>
    </row>
    <row r="129" spans="1:7" x14ac:dyDescent="0.25">
      <c r="A129" s="328" t="s">
        <v>1495</v>
      </c>
      <c r="B129" s="329">
        <v>0</v>
      </c>
      <c r="C129" s="329" t="s">
        <v>1697</v>
      </c>
      <c r="D129" s="329" t="s">
        <v>1695</v>
      </c>
      <c r="E129" s="329" t="s">
        <v>1698</v>
      </c>
      <c r="F129" s="329" t="s">
        <v>1335</v>
      </c>
      <c r="G129" s="329" t="s">
        <v>1699</v>
      </c>
    </row>
    <row r="130" spans="1:7" x14ac:dyDescent="0.25">
      <c r="A130" s="328" t="s">
        <v>1496</v>
      </c>
      <c r="B130" s="329">
        <v>0</v>
      </c>
      <c r="C130" s="329" t="s">
        <v>1700</v>
      </c>
      <c r="D130" s="329" t="s">
        <v>1695</v>
      </c>
      <c r="E130" s="329" t="s">
        <v>1701</v>
      </c>
      <c r="F130" s="329" t="s">
        <v>1335</v>
      </c>
      <c r="G130" s="329" t="s">
        <v>1702</v>
      </c>
    </row>
    <row r="131" spans="1:7" x14ac:dyDescent="0.25">
      <c r="A131" s="328" t="s">
        <v>1497</v>
      </c>
      <c r="B131" s="329">
        <v>0</v>
      </c>
      <c r="C131" s="329" t="s">
        <v>1700</v>
      </c>
      <c r="D131" s="329" t="s">
        <v>1695</v>
      </c>
      <c r="E131" s="329" t="s">
        <v>1701</v>
      </c>
      <c r="F131" s="329" t="s">
        <v>1335</v>
      </c>
      <c r="G131" s="329" t="s">
        <v>1703</v>
      </c>
    </row>
    <row r="132" spans="1:7" x14ac:dyDescent="0.25">
      <c r="A132" s="328" t="s">
        <v>1498</v>
      </c>
      <c r="B132" s="329">
        <v>0</v>
      </c>
      <c r="C132" s="329" t="s">
        <v>1700</v>
      </c>
      <c r="D132" s="329" t="s">
        <v>1695</v>
      </c>
      <c r="E132" s="329" t="s">
        <v>1701</v>
      </c>
      <c r="F132" s="329" t="s">
        <v>1335</v>
      </c>
      <c r="G132" s="329" t="s">
        <v>1191</v>
      </c>
    </row>
    <row r="133" spans="1:7" x14ac:dyDescent="0.25">
      <c r="A133" s="328" t="s">
        <v>1499</v>
      </c>
      <c r="B133" s="329">
        <v>0</v>
      </c>
      <c r="C133" s="329" t="s">
        <v>1700</v>
      </c>
      <c r="D133" s="329" t="s">
        <v>1695</v>
      </c>
      <c r="E133" s="329" t="s">
        <v>1701</v>
      </c>
      <c r="F133" s="329" t="s">
        <v>1335</v>
      </c>
      <c r="G133" s="329" t="s">
        <v>1704</v>
      </c>
    </row>
    <row r="134" spans="1:7" x14ac:dyDescent="0.25">
      <c r="A134" s="328" t="s">
        <v>1500</v>
      </c>
      <c r="B134" s="329">
        <v>0</v>
      </c>
      <c r="C134" s="329" t="s">
        <v>1700</v>
      </c>
      <c r="D134" s="329" t="s">
        <v>1695</v>
      </c>
      <c r="E134" s="329" t="s">
        <v>1701</v>
      </c>
      <c r="F134" s="329" t="s">
        <v>1335</v>
      </c>
      <c r="G134" s="329" t="s">
        <v>1705</v>
      </c>
    </row>
    <row r="135" spans="1:7" x14ac:dyDescent="0.25">
      <c r="A135" s="328" t="s">
        <v>1501</v>
      </c>
      <c r="B135" s="329">
        <v>0</v>
      </c>
      <c r="C135" s="329" t="s">
        <v>1700</v>
      </c>
      <c r="D135" s="329" t="s">
        <v>1695</v>
      </c>
      <c r="E135" s="329" t="s">
        <v>1701</v>
      </c>
      <c r="F135" s="329" t="s">
        <v>1335</v>
      </c>
      <c r="G135" s="329" t="s">
        <v>1706</v>
      </c>
    </row>
    <row r="136" spans="1:7" x14ac:dyDescent="0.25">
      <c r="A136" s="328" t="s">
        <v>1502</v>
      </c>
      <c r="B136" s="329">
        <v>0</v>
      </c>
      <c r="C136" s="329" t="s">
        <v>1700</v>
      </c>
      <c r="D136" s="329" t="s">
        <v>1695</v>
      </c>
      <c r="E136" s="329" t="s">
        <v>1701</v>
      </c>
      <c r="F136" s="329" t="s">
        <v>1335</v>
      </c>
      <c r="G136" s="329" t="s">
        <v>1707</v>
      </c>
    </row>
    <row r="137" spans="1:7" x14ac:dyDescent="0.25">
      <c r="A137" s="328" t="s">
        <v>1503</v>
      </c>
      <c r="B137" s="329">
        <v>0</v>
      </c>
      <c r="C137" s="329" t="s">
        <v>1700</v>
      </c>
      <c r="D137" s="329" t="s">
        <v>1695</v>
      </c>
      <c r="E137" s="329" t="s">
        <v>1701</v>
      </c>
      <c r="F137" s="329" t="s">
        <v>1335</v>
      </c>
      <c r="G137" s="329" t="s">
        <v>1195</v>
      </c>
    </row>
    <row r="138" spans="1:7" x14ac:dyDescent="0.25">
      <c r="B138" s="327" t="s">
        <v>976</v>
      </c>
      <c r="C138" s="327" t="s">
        <v>892</v>
      </c>
      <c r="D138" s="327" t="s">
        <v>893</v>
      </c>
      <c r="E138" s="327" t="s">
        <v>946</v>
      </c>
      <c r="F138" s="327" t="s">
        <v>977</v>
      </c>
      <c r="G138" s="327" t="s">
        <v>978</v>
      </c>
    </row>
    <row r="139" spans="1:7" x14ac:dyDescent="0.25">
      <c r="A139" s="328" t="s">
        <v>1476</v>
      </c>
      <c r="B139" s="329" t="s">
        <v>1708</v>
      </c>
      <c r="C139" s="329" t="s">
        <v>1709</v>
      </c>
      <c r="D139" s="329" t="s">
        <v>1710</v>
      </c>
      <c r="E139" s="329" t="s">
        <v>1711</v>
      </c>
      <c r="F139" s="329" t="s">
        <v>1712</v>
      </c>
      <c r="G139" s="329" t="s">
        <v>1713</v>
      </c>
    </row>
    <row r="140" spans="1:7" x14ac:dyDescent="0.25">
      <c r="A140" s="328" t="s">
        <v>1477</v>
      </c>
      <c r="B140" s="329" t="s">
        <v>1714</v>
      </c>
      <c r="C140" s="329" t="s">
        <v>1715</v>
      </c>
      <c r="D140" s="329" t="s">
        <v>1254</v>
      </c>
      <c r="E140" s="329" t="s">
        <v>1716</v>
      </c>
      <c r="F140" s="329" t="s">
        <v>1717</v>
      </c>
      <c r="G140" s="329" t="s">
        <v>1109</v>
      </c>
    </row>
    <row r="141" spans="1:7" x14ac:dyDescent="0.25">
      <c r="A141" s="328" t="s">
        <v>1478</v>
      </c>
      <c r="B141" s="329" t="s">
        <v>1718</v>
      </c>
      <c r="C141" s="329" t="s">
        <v>1719</v>
      </c>
      <c r="D141" s="329" t="s">
        <v>1720</v>
      </c>
      <c r="E141" s="329" t="s">
        <v>1721</v>
      </c>
      <c r="F141" s="329" t="s">
        <v>1197</v>
      </c>
      <c r="G141" s="329" t="s">
        <v>1270</v>
      </c>
    </row>
    <row r="142" spans="1:7" x14ac:dyDescent="0.25">
      <c r="A142" s="328" t="s">
        <v>1479</v>
      </c>
      <c r="B142" s="329" t="s">
        <v>1722</v>
      </c>
      <c r="C142" s="329" t="s">
        <v>1723</v>
      </c>
      <c r="D142" s="329" t="s">
        <v>1344</v>
      </c>
      <c r="E142" s="329" t="s">
        <v>1724</v>
      </c>
      <c r="F142" s="329" t="s">
        <v>1456</v>
      </c>
      <c r="G142" s="329" t="s">
        <v>1113</v>
      </c>
    </row>
    <row r="143" spans="1:7" x14ac:dyDescent="0.25">
      <c r="A143" s="328" t="s">
        <v>1480</v>
      </c>
      <c r="B143" s="329" t="s">
        <v>1725</v>
      </c>
      <c r="C143" s="329" t="s">
        <v>1726</v>
      </c>
      <c r="D143" s="329" t="s">
        <v>1255</v>
      </c>
      <c r="E143" s="329" t="s">
        <v>1185</v>
      </c>
      <c r="F143" s="329" t="s">
        <v>1196</v>
      </c>
      <c r="G143" s="329" t="s">
        <v>1201</v>
      </c>
    </row>
    <row r="144" spans="1:7" x14ac:dyDescent="0.25">
      <c r="A144" s="328" t="s">
        <v>1481</v>
      </c>
      <c r="B144" s="329" t="s">
        <v>1727</v>
      </c>
      <c r="C144" s="329" t="s">
        <v>1339</v>
      </c>
      <c r="D144" s="329" t="s">
        <v>1728</v>
      </c>
      <c r="E144" s="329" t="s">
        <v>1729</v>
      </c>
      <c r="F144" s="329" t="s">
        <v>1276</v>
      </c>
      <c r="G144" s="329" t="s">
        <v>1285</v>
      </c>
    </row>
    <row r="145" spans="1:7" x14ac:dyDescent="0.25">
      <c r="A145" s="328" t="s">
        <v>1482</v>
      </c>
      <c r="B145" s="329" t="s">
        <v>1730</v>
      </c>
      <c r="C145" s="329" t="s">
        <v>1731</v>
      </c>
      <c r="D145" s="329" t="s">
        <v>1732</v>
      </c>
      <c r="E145" s="329" t="s">
        <v>1733</v>
      </c>
      <c r="F145" s="329" t="s">
        <v>1734</v>
      </c>
      <c r="G145" s="329" t="s">
        <v>1337</v>
      </c>
    </row>
    <row r="146" spans="1:7" x14ac:dyDescent="0.25">
      <c r="A146" s="328" t="s">
        <v>1483</v>
      </c>
      <c r="B146" s="329" t="s">
        <v>1735</v>
      </c>
      <c r="C146" s="329" t="s">
        <v>1736</v>
      </c>
      <c r="D146" s="329" t="s">
        <v>1344</v>
      </c>
      <c r="E146" s="329" t="s">
        <v>1737</v>
      </c>
      <c r="F146" s="329" t="s">
        <v>1454</v>
      </c>
      <c r="G146" s="329" t="s">
        <v>1161</v>
      </c>
    </row>
    <row r="147" spans="1:7" x14ac:dyDescent="0.25">
      <c r="A147" s="328" t="s">
        <v>1484</v>
      </c>
      <c r="B147" s="329" t="s">
        <v>1738</v>
      </c>
      <c r="C147" s="329" t="s">
        <v>1715</v>
      </c>
      <c r="D147" s="329" t="s">
        <v>1739</v>
      </c>
      <c r="E147" s="329" t="s">
        <v>1740</v>
      </c>
      <c r="F147" s="329" t="s">
        <v>1741</v>
      </c>
      <c r="G147" s="329" t="s">
        <v>1157</v>
      </c>
    </row>
    <row r="148" spans="1:7" x14ac:dyDescent="0.25">
      <c r="A148" s="328" t="s">
        <v>1485</v>
      </c>
      <c r="B148" s="329" t="s">
        <v>1742</v>
      </c>
      <c r="C148" s="329" t="s">
        <v>1743</v>
      </c>
      <c r="D148" s="329" t="s">
        <v>1744</v>
      </c>
      <c r="E148" s="329" t="s">
        <v>1740</v>
      </c>
      <c r="F148" s="329" t="s">
        <v>1741</v>
      </c>
      <c r="G148" s="329" t="s">
        <v>1111</v>
      </c>
    </row>
    <row r="149" spans="1:7" x14ac:dyDescent="0.25">
      <c r="A149" s="328" t="s">
        <v>1486</v>
      </c>
      <c r="B149" s="329" t="s">
        <v>1745</v>
      </c>
      <c r="C149" s="329" t="s">
        <v>1746</v>
      </c>
      <c r="D149" s="329" t="s">
        <v>1336</v>
      </c>
      <c r="E149" s="329" t="s">
        <v>1747</v>
      </c>
      <c r="F149" s="329" t="s">
        <v>1748</v>
      </c>
      <c r="G149" s="329" t="s">
        <v>1111</v>
      </c>
    </row>
    <row r="150" spans="1:7" x14ac:dyDescent="0.25">
      <c r="A150" s="328" t="s">
        <v>1488</v>
      </c>
      <c r="B150" s="329" t="s">
        <v>1749</v>
      </c>
      <c r="C150" s="329" t="s">
        <v>1750</v>
      </c>
      <c r="D150" s="329" t="s">
        <v>1751</v>
      </c>
      <c r="E150" s="329" t="s">
        <v>1752</v>
      </c>
      <c r="F150" s="329" t="s">
        <v>1753</v>
      </c>
      <c r="G150" s="329" t="s">
        <v>1142</v>
      </c>
    </row>
    <row r="151" spans="1:7" x14ac:dyDescent="0.25">
      <c r="A151" s="328" t="s">
        <v>1489</v>
      </c>
      <c r="B151" s="329" t="s">
        <v>1754</v>
      </c>
      <c r="C151" s="329" t="s">
        <v>1755</v>
      </c>
      <c r="D151" s="329" t="s">
        <v>1756</v>
      </c>
      <c r="E151" s="329" t="s">
        <v>1340</v>
      </c>
      <c r="F151" s="329" t="s">
        <v>1140</v>
      </c>
      <c r="G151" s="329" t="s">
        <v>1143</v>
      </c>
    </row>
    <row r="152" spans="1:7" x14ac:dyDescent="0.25">
      <c r="A152" s="328" t="s">
        <v>1491</v>
      </c>
      <c r="B152" s="329" t="s">
        <v>1757</v>
      </c>
      <c r="C152" s="329" t="s">
        <v>1758</v>
      </c>
      <c r="D152" s="329" t="s">
        <v>1759</v>
      </c>
      <c r="E152" s="329" t="s">
        <v>1760</v>
      </c>
      <c r="F152" s="329" t="s">
        <v>1761</v>
      </c>
      <c r="G152" s="329" t="s">
        <v>1438</v>
      </c>
    </row>
    <row r="153" spans="1:7" x14ac:dyDescent="0.25">
      <c r="A153" s="328" t="s">
        <v>1492</v>
      </c>
      <c r="B153" s="329" t="s">
        <v>1762</v>
      </c>
      <c r="C153" s="329" t="s">
        <v>1758</v>
      </c>
      <c r="D153" s="329" t="s">
        <v>1336</v>
      </c>
      <c r="E153" s="329" t="s">
        <v>1763</v>
      </c>
      <c r="F153" s="329" t="s">
        <v>1764</v>
      </c>
      <c r="G153" s="329" t="s">
        <v>1090</v>
      </c>
    </row>
    <row r="154" spans="1:7" x14ac:dyDescent="0.25">
      <c r="A154" s="328" t="s">
        <v>1493</v>
      </c>
      <c r="B154" s="329" t="s">
        <v>1765</v>
      </c>
      <c r="C154" s="329" t="s">
        <v>1766</v>
      </c>
      <c r="D154" s="329" t="s">
        <v>1767</v>
      </c>
      <c r="E154" s="329" t="s">
        <v>1768</v>
      </c>
      <c r="F154" s="329" t="s">
        <v>1192</v>
      </c>
      <c r="G154" s="329" t="s">
        <v>1080</v>
      </c>
    </row>
    <row r="155" spans="1:7" x14ac:dyDescent="0.25">
      <c r="A155" s="328" t="s">
        <v>1495</v>
      </c>
      <c r="B155" s="329" t="s">
        <v>1769</v>
      </c>
      <c r="C155" s="329" t="s">
        <v>1770</v>
      </c>
      <c r="D155" s="329" t="s">
        <v>1771</v>
      </c>
      <c r="E155" s="329" t="s">
        <v>1772</v>
      </c>
      <c r="F155" s="329" t="s">
        <v>1773</v>
      </c>
      <c r="G155" s="329" t="s">
        <v>1774</v>
      </c>
    </row>
    <row r="156" spans="1:7" x14ac:dyDescent="0.25">
      <c r="A156" s="328" t="s">
        <v>1496</v>
      </c>
      <c r="B156" s="329" t="s">
        <v>1775</v>
      </c>
      <c r="C156" s="329" t="s">
        <v>1766</v>
      </c>
      <c r="D156" s="329" t="s">
        <v>1776</v>
      </c>
      <c r="E156" s="329" t="s">
        <v>1777</v>
      </c>
      <c r="F156" s="329" t="s">
        <v>1778</v>
      </c>
      <c r="G156" s="329" t="s">
        <v>1070</v>
      </c>
    </row>
    <row r="157" spans="1:7" x14ac:dyDescent="0.25">
      <c r="A157" s="328" t="s">
        <v>1497</v>
      </c>
      <c r="B157" s="329" t="s">
        <v>1779</v>
      </c>
      <c r="C157" s="329" t="s">
        <v>1780</v>
      </c>
      <c r="D157" s="329" t="s">
        <v>1756</v>
      </c>
      <c r="E157" s="329" t="s">
        <v>1781</v>
      </c>
      <c r="F157" s="329" t="s">
        <v>1782</v>
      </c>
      <c r="G157" s="329" t="s">
        <v>1783</v>
      </c>
    </row>
    <row r="158" spans="1:7" x14ac:dyDescent="0.25">
      <c r="A158" s="328" t="s">
        <v>1498</v>
      </c>
      <c r="B158" s="329" t="s">
        <v>1784</v>
      </c>
      <c r="C158" s="329" t="s">
        <v>1785</v>
      </c>
      <c r="D158" s="329" t="s">
        <v>1255</v>
      </c>
      <c r="E158" s="329" t="s">
        <v>1786</v>
      </c>
      <c r="F158" s="329" t="s">
        <v>1787</v>
      </c>
      <c r="G158" s="329" t="s">
        <v>1116</v>
      </c>
    </row>
    <row r="159" spans="1:7" x14ac:dyDescent="0.25">
      <c r="A159" s="328" t="s">
        <v>1499</v>
      </c>
      <c r="B159" s="329" t="s">
        <v>1788</v>
      </c>
      <c r="C159" s="329" t="s">
        <v>1789</v>
      </c>
      <c r="D159" s="329" t="s">
        <v>1343</v>
      </c>
      <c r="E159" s="329" t="s">
        <v>1716</v>
      </c>
      <c r="F159" s="329" t="s">
        <v>1761</v>
      </c>
      <c r="G159" s="329" t="s">
        <v>1790</v>
      </c>
    </row>
    <row r="160" spans="1:7" x14ac:dyDescent="0.25">
      <c r="A160" s="328" t="s">
        <v>1500</v>
      </c>
      <c r="B160" s="329" t="s">
        <v>1791</v>
      </c>
      <c r="C160" s="329" t="s">
        <v>1342</v>
      </c>
      <c r="D160" s="329" t="s">
        <v>1792</v>
      </c>
      <c r="E160" s="329" t="s">
        <v>1716</v>
      </c>
      <c r="F160" s="329" t="s">
        <v>1761</v>
      </c>
      <c r="G160" s="329" t="s">
        <v>1070</v>
      </c>
    </row>
    <row r="161" spans="1:7" x14ac:dyDescent="0.25">
      <c r="A161" s="328" t="s">
        <v>1501</v>
      </c>
      <c r="B161" s="329" t="s">
        <v>1793</v>
      </c>
      <c r="C161" s="329" t="s">
        <v>1343</v>
      </c>
      <c r="D161" s="329" t="s">
        <v>1794</v>
      </c>
      <c r="E161" s="329" t="s">
        <v>1795</v>
      </c>
      <c r="F161" s="329" t="s">
        <v>1796</v>
      </c>
      <c r="G161" s="329" t="s">
        <v>1446</v>
      </c>
    </row>
    <row r="162" spans="1:7" x14ac:dyDescent="0.25">
      <c r="A162" s="328" t="s">
        <v>1502</v>
      </c>
      <c r="B162" s="329" t="s">
        <v>1797</v>
      </c>
      <c r="C162" s="329" t="s">
        <v>1798</v>
      </c>
      <c r="D162" s="329" t="s">
        <v>1255</v>
      </c>
      <c r="E162" s="329" t="s">
        <v>1760</v>
      </c>
      <c r="F162" s="329" t="s">
        <v>1199</v>
      </c>
      <c r="G162" s="329" t="s">
        <v>1145</v>
      </c>
    </row>
    <row r="163" spans="1:7" x14ac:dyDescent="0.25">
      <c r="A163" s="328" t="s">
        <v>1503</v>
      </c>
      <c r="B163" s="329" t="s">
        <v>1799</v>
      </c>
      <c r="C163" s="329" t="s">
        <v>1800</v>
      </c>
      <c r="D163" s="329" t="s">
        <v>1801</v>
      </c>
      <c r="E163" s="329" t="s">
        <v>1802</v>
      </c>
      <c r="F163" s="329" t="s">
        <v>1803</v>
      </c>
      <c r="G163" s="329" t="s">
        <v>1141</v>
      </c>
    </row>
    <row r="164" spans="1:7" x14ac:dyDescent="0.25">
      <c r="B164" s="327" t="s">
        <v>894</v>
      </c>
      <c r="C164" s="327" t="s">
        <v>895</v>
      </c>
      <c r="D164" s="327" t="s">
        <v>896</v>
      </c>
      <c r="E164" s="327" t="s">
        <v>897</v>
      </c>
      <c r="F164" s="327" t="s">
        <v>898</v>
      </c>
      <c r="G164" s="327" t="s">
        <v>899</v>
      </c>
    </row>
    <row r="165" spans="1:7" x14ac:dyDescent="0.25">
      <c r="A165" s="328" t="s">
        <v>1476</v>
      </c>
      <c r="B165" s="329" t="s">
        <v>1804</v>
      </c>
      <c r="C165" s="329" t="s">
        <v>1352</v>
      </c>
      <c r="D165" s="329" t="s">
        <v>1805</v>
      </c>
      <c r="E165" s="329" t="s">
        <v>1806</v>
      </c>
      <c r="F165" s="329" t="s">
        <v>1358</v>
      </c>
      <c r="G165" s="329">
        <v>0</v>
      </c>
    </row>
    <row r="166" spans="1:7" x14ac:dyDescent="0.25">
      <c r="A166" s="328" t="s">
        <v>1477</v>
      </c>
      <c r="B166" s="329" t="s">
        <v>1807</v>
      </c>
      <c r="C166" s="329" t="s">
        <v>1808</v>
      </c>
      <c r="D166" s="329" t="s">
        <v>1809</v>
      </c>
      <c r="E166" s="329" t="s">
        <v>1350</v>
      </c>
      <c r="F166" s="329" t="s">
        <v>1358</v>
      </c>
      <c r="G166" s="329">
        <v>0</v>
      </c>
    </row>
    <row r="167" spans="1:7" x14ac:dyDescent="0.25">
      <c r="A167" s="328" t="s">
        <v>1478</v>
      </c>
      <c r="B167" s="329" t="s">
        <v>1807</v>
      </c>
      <c r="C167" s="329" t="s">
        <v>1810</v>
      </c>
      <c r="D167" s="329" t="s">
        <v>1288</v>
      </c>
      <c r="E167" s="329" t="s">
        <v>1811</v>
      </c>
      <c r="F167" s="329" t="s">
        <v>1353</v>
      </c>
      <c r="G167" s="329">
        <v>0</v>
      </c>
    </row>
    <row r="168" spans="1:7" x14ac:dyDescent="0.25">
      <c r="A168" s="328" t="s">
        <v>1479</v>
      </c>
      <c r="B168" s="329" t="s">
        <v>1807</v>
      </c>
      <c r="C168" s="329" t="s">
        <v>1810</v>
      </c>
      <c r="D168" s="329" t="s">
        <v>1338</v>
      </c>
      <c r="E168" s="329" t="s">
        <v>1112</v>
      </c>
      <c r="F168" s="329" t="s">
        <v>1347</v>
      </c>
      <c r="G168" s="329">
        <v>0</v>
      </c>
    </row>
    <row r="169" spans="1:7" x14ac:dyDescent="0.25">
      <c r="A169" s="328" t="s">
        <v>1480</v>
      </c>
      <c r="B169" s="329" t="s">
        <v>1807</v>
      </c>
      <c r="C169" s="329" t="s">
        <v>1341</v>
      </c>
      <c r="D169" s="329" t="s">
        <v>1812</v>
      </c>
      <c r="E169" s="329" t="s">
        <v>1813</v>
      </c>
      <c r="F169" s="329" t="s">
        <v>1814</v>
      </c>
      <c r="G169" s="329">
        <v>0</v>
      </c>
    </row>
    <row r="170" spans="1:7" x14ac:dyDescent="0.25">
      <c r="A170" s="328" t="s">
        <v>1481</v>
      </c>
      <c r="B170" s="329" t="s">
        <v>1807</v>
      </c>
      <c r="C170" s="329" t="s">
        <v>1352</v>
      </c>
      <c r="D170" s="329" t="s">
        <v>1815</v>
      </c>
      <c r="E170" s="329" t="s">
        <v>1816</v>
      </c>
      <c r="F170" s="329" t="s">
        <v>1817</v>
      </c>
      <c r="G170" s="329">
        <v>0</v>
      </c>
    </row>
    <row r="171" spans="1:7" x14ac:dyDescent="0.25">
      <c r="A171" s="328" t="s">
        <v>1482</v>
      </c>
      <c r="B171" s="329" t="s">
        <v>1807</v>
      </c>
      <c r="C171" s="329" t="s">
        <v>1447</v>
      </c>
      <c r="D171" s="329" t="s">
        <v>1457</v>
      </c>
      <c r="E171" s="329" t="s">
        <v>1813</v>
      </c>
      <c r="F171" s="329" t="s">
        <v>1814</v>
      </c>
      <c r="G171" s="329">
        <v>0</v>
      </c>
    </row>
    <row r="172" spans="1:7" x14ac:dyDescent="0.25">
      <c r="A172" s="328" t="s">
        <v>1483</v>
      </c>
      <c r="B172" s="329" t="s">
        <v>1807</v>
      </c>
      <c r="C172" s="329" t="s">
        <v>1818</v>
      </c>
      <c r="D172" s="329" t="s">
        <v>1202</v>
      </c>
      <c r="E172" s="329" t="s">
        <v>1819</v>
      </c>
      <c r="F172" s="329" t="s">
        <v>1349</v>
      </c>
      <c r="G172" s="329">
        <v>0</v>
      </c>
    </row>
    <row r="173" spans="1:7" x14ac:dyDescent="0.25">
      <c r="A173" s="328" t="s">
        <v>1484</v>
      </c>
      <c r="B173" s="329" t="s">
        <v>1807</v>
      </c>
      <c r="C173" s="329" t="s">
        <v>1820</v>
      </c>
      <c r="D173" s="329" t="s">
        <v>1421</v>
      </c>
      <c r="E173" s="329" t="s">
        <v>1821</v>
      </c>
      <c r="F173" s="329" t="s">
        <v>1350</v>
      </c>
      <c r="G173" s="329">
        <v>0</v>
      </c>
    </row>
    <row r="174" spans="1:7" x14ac:dyDescent="0.25">
      <c r="A174" s="328" t="s">
        <v>1485</v>
      </c>
      <c r="B174" s="329" t="s">
        <v>1807</v>
      </c>
      <c r="C174" s="329" t="s">
        <v>1822</v>
      </c>
      <c r="D174" s="329" t="s">
        <v>1823</v>
      </c>
      <c r="E174" s="329" t="s">
        <v>1824</v>
      </c>
      <c r="F174" s="329" t="s">
        <v>1806</v>
      </c>
      <c r="G174" s="329">
        <v>0</v>
      </c>
    </row>
    <row r="175" spans="1:7" x14ac:dyDescent="0.25">
      <c r="A175" s="328" t="s">
        <v>1486</v>
      </c>
      <c r="B175" s="329" t="s">
        <v>1807</v>
      </c>
      <c r="C175" s="329" t="s">
        <v>1825</v>
      </c>
      <c r="D175" s="329" t="s">
        <v>1826</v>
      </c>
      <c r="E175" s="329" t="s">
        <v>1819</v>
      </c>
      <c r="F175" s="329" t="s">
        <v>1827</v>
      </c>
      <c r="G175" s="329">
        <v>0</v>
      </c>
    </row>
    <row r="176" spans="1:7" x14ac:dyDescent="0.25">
      <c r="A176" s="328" t="s">
        <v>1488</v>
      </c>
      <c r="B176" s="329" t="s">
        <v>1807</v>
      </c>
      <c r="C176" s="329" t="s">
        <v>1828</v>
      </c>
      <c r="D176" s="329" t="s">
        <v>1354</v>
      </c>
      <c r="E176" s="329" t="s">
        <v>1204</v>
      </c>
      <c r="F176" s="329" t="s">
        <v>1356</v>
      </c>
      <c r="G176" s="329">
        <v>0</v>
      </c>
    </row>
    <row r="177" spans="1:7" x14ac:dyDescent="0.25">
      <c r="A177" s="328" t="s">
        <v>1489</v>
      </c>
      <c r="B177" s="329" t="s">
        <v>1807</v>
      </c>
      <c r="C177" s="329" t="s">
        <v>1829</v>
      </c>
      <c r="D177" s="329" t="s">
        <v>1830</v>
      </c>
      <c r="E177" s="329" t="s">
        <v>1811</v>
      </c>
      <c r="F177" s="329" t="s">
        <v>1356</v>
      </c>
      <c r="G177" s="329">
        <v>0</v>
      </c>
    </row>
    <row r="178" spans="1:7" x14ac:dyDescent="0.25">
      <c r="A178" s="328" t="s">
        <v>1491</v>
      </c>
      <c r="B178" s="329" t="s">
        <v>1266</v>
      </c>
      <c r="C178" s="329" t="s">
        <v>1831</v>
      </c>
      <c r="D178" s="329" t="s">
        <v>1425</v>
      </c>
      <c r="E178" s="329" t="s">
        <v>1832</v>
      </c>
      <c r="F178" s="329" t="s">
        <v>1347</v>
      </c>
      <c r="G178" s="329">
        <v>0</v>
      </c>
    </row>
    <row r="179" spans="1:7" x14ac:dyDescent="0.25">
      <c r="A179" s="328" t="s">
        <v>1492</v>
      </c>
      <c r="B179" s="329" t="s">
        <v>1266</v>
      </c>
      <c r="C179" s="329" t="s">
        <v>1833</v>
      </c>
      <c r="D179" s="329" t="s">
        <v>1834</v>
      </c>
      <c r="E179" s="329" t="s">
        <v>1359</v>
      </c>
      <c r="F179" s="329" t="s">
        <v>1347</v>
      </c>
      <c r="G179" s="329">
        <v>0</v>
      </c>
    </row>
    <row r="180" spans="1:7" x14ac:dyDescent="0.25">
      <c r="A180" s="328" t="s">
        <v>1493</v>
      </c>
      <c r="B180" s="329" t="s">
        <v>1266</v>
      </c>
      <c r="C180" s="329" t="s">
        <v>1460</v>
      </c>
      <c r="D180" s="329" t="s">
        <v>1462</v>
      </c>
      <c r="E180" s="329" t="s">
        <v>1359</v>
      </c>
      <c r="F180" s="329" t="s">
        <v>1814</v>
      </c>
      <c r="G180" s="329">
        <v>0</v>
      </c>
    </row>
    <row r="181" spans="1:7" x14ac:dyDescent="0.25">
      <c r="A181" s="328" t="s">
        <v>1495</v>
      </c>
      <c r="B181" s="329" t="s">
        <v>1266</v>
      </c>
      <c r="C181" s="329" t="s">
        <v>1818</v>
      </c>
      <c r="D181" s="329" t="s">
        <v>1202</v>
      </c>
      <c r="E181" s="329" t="s">
        <v>1806</v>
      </c>
      <c r="F181" s="329" t="s">
        <v>1835</v>
      </c>
      <c r="G181" s="329">
        <v>0</v>
      </c>
    </row>
    <row r="182" spans="1:7" x14ac:dyDescent="0.25">
      <c r="A182" s="328" t="s">
        <v>1496</v>
      </c>
      <c r="B182" s="329" t="s">
        <v>1266</v>
      </c>
      <c r="C182" s="329" t="s">
        <v>1445</v>
      </c>
      <c r="D182" s="329" t="s">
        <v>1444</v>
      </c>
      <c r="E182" s="329" t="s">
        <v>1350</v>
      </c>
      <c r="F182" s="329" t="s">
        <v>1814</v>
      </c>
      <c r="G182" s="329">
        <v>0</v>
      </c>
    </row>
    <row r="183" spans="1:7" x14ac:dyDescent="0.25">
      <c r="A183" s="328" t="s">
        <v>1497</v>
      </c>
      <c r="B183" s="329" t="s">
        <v>1266</v>
      </c>
      <c r="C183" s="329" t="s">
        <v>1815</v>
      </c>
      <c r="D183" s="329" t="s">
        <v>1424</v>
      </c>
      <c r="E183" s="329" t="s">
        <v>1356</v>
      </c>
      <c r="F183" s="329" t="s">
        <v>1356</v>
      </c>
      <c r="G183" s="329">
        <v>0</v>
      </c>
    </row>
    <row r="184" spans="1:7" x14ac:dyDescent="0.25">
      <c r="A184" s="328" t="s">
        <v>1498</v>
      </c>
      <c r="B184" s="329" t="s">
        <v>1266</v>
      </c>
      <c r="C184" s="329" t="s">
        <v>1461</v>
      </c>
      <c r="D184" s="329" t="s">
        <v>1836</v>
      </c>
      <c r="E184" s="329" t="s">
        <v>1356</v>
      </c>
      <c r="F184" s="329" t="s">
        <v>1817</v>
      </c>
      <c r="G184" s="329">
        <v>0</v>
      </c>
    </row>
    <row r="185" spans="1:7" x14ac:dyDescent="0.25">
      <c r="A185" s="328" t="s">
        <v>1499</v>
      </c>
      <c r="B185" s="329" t="s">
        <v>1266</v>
      </c>
      <c r="C185" s="329" t="s">
        <v>1280</v>
      </c>
      <c r="D185" s="329" t="s">
        <v>1351</v>
      </c>
      <c r="E185" s="329" t="s">
        <v>1347</v>
      </c>
      <c r="F185" s="329" t="s">
        <v>1358</v>
      </c>
      <c r="G185" s="329">
        <v>0</v>
      </c>
    </row>
    <row r="186" spans="1:7" x14ac:dyDescent="0.25">
      <c r="A186" s="328" t="s">
        <v>1500</v>
      </c>
      <c r="B186" s="329" t="s">
        <v>1266</v>
      </c>
      <c r="C186" s="329" t="s">
        <v>1274</v>
      </c>
      <c r="D186" s="329" t="s">
        <v>1351</v>
      </c>
      <c r="E186" s="329" t="s">
        <v>1347</v>
      </c>
      <c r="F186" s="329" t="s">
        <v>1357</v>
      </c>
      <c r="G186" s="329">
        <v>0</v>
      </c>
    </row>
    <row r="187" spans="1:7" x14ac:dyDescent="0.25">
      <c r="A187" s="328" t="s">
        <v>1501</v>
      </c>
      <c r="B187" s="329" t="s">
        <v>1266</v>
      </c>
      <c r="C187" s="329" t="s">
        <v>1837</v>
      </c>
      <c r="D187" s="329" t="s">
        <v>1351</v>
      </c>
      <c r="E187" s="329" t="s">
        <v>1204</v>
      </c>
      <c r="F187" s="329" t="s">
        <v>1355</v>
      </c>
      <c r="G187" s="329">
        <v>0</v>
      </c>
    </row>
    <row r="188" spans="1:7" x14ac:dyDescent="0.25">
      <c r="A188" s="328" t="s">
        <v>1502</v>
      </c>
      <c r="B188" s="329" t="s">
        <v>1266</v>
      </c>
      <c r="C188" s="329" t="s">
        <v>1838</v>
      </c>
      <c r="D188" s="329" t="s">
        <v>1839</v>
      </c>
      <c r="E188" s="329" t="s">
        <v>1811</v>
      </c>
      <c r="F188" s="329" t="s">
        <v>1346</v>
      </c>
      <c r="G188" s="329">
        <v>0</v>
      </c>
    </row>
    <row r="189" spans="1:7" x14ac:dyDescent="0.25">
      <c r="A189" s="328" t="s">
        <v>1503</v>
      </c>
      <c r="B189" s="329" t="s">
        <v>1266</v>
      </c>
      <c r="C189" s="329" t="s">
        <v>1840</v>
      </c>
      <c r="D189" s="329" t="s">
        <v>1341</v>
      </c>
      <c r="E189" s="329" t="s">
        <v>1841</v>
      </c>
      <c r="F189" s="329" t="s">
        <v>1359</v>
      </c>
      <c r="G189" s="329">
        <v>0</v>
      </c>
    </row>
    <row r="190" spans="1:7" x14ac:dyDescent="0.25">
      <c r="B190" s="327" t="s">
        <v>996</v>
      </c>
      <c r="C190" s="327" t="s">
        <v>900</v>
      </c>
      <c r="D190" s="327" t="s">
        <v>997</v>
      </c>
      <c r="E190" s="327" t="s">
        <v>901</v>
      </c>
      <c r="F190" s="327" t="s">
        <v>998</v>
      </c>
      <c r="G190" s="327" t="s">
        <v>902</v>
      </c>
    </row>
    <row r="191" spans="1:7" x14ac:dyDescent="0.25">
      <c r="A191" s="328" t="s">
        <v>1476</v>
      </c>
      <c r="B191" s="329" t="s">
        <v>1842</v>
      </c>
      <c r="C191" s="329" t="s">
        <v>1843</v>
      </c>
      <c r="D191" s="329" t="s">
        <v>1844</v>
      </c>
      <c r="E191" s="329" t="s">
        <v>1845</v>
      </c>
      <c r="F191" s="329" t="s">
        <v>1846</v>
      </c>
      <c r="G191" s="329" t="s">
        <v>1847</v>
      </c>
    </row>
    <row r="192" spans="1:7" x14ac:dyDescent="0.25">
      <c r="A192" s="328" t="s">
        <v>1477</v>
      </c>
      <c r="B192" s="329" t="s">
        <v>1848</v>
      </c>
      <c r="C192" s="329" t="s">
        <v>1209</v>
      </c>
      <c r="D192" s="329" t="s">
        <v>1849</v>
      </c>
      <c r="E192" s="329" t="s">
        <v>1362</v>
      </c>
      <c r="F192" s="329" t="s">
        <v>1850</v>
      </c>
      <c r="G192" s="329" t="s">
        <v>1851</v>
      </c>
    </row>
    <row r="193" spans="1:7" x14ac:dyDescent="0.25">
      <c r="A193" s="328" t="s">
        <v>1478</v>
      </c>
      <c r="B193" s="329" t="s">
        <v>1848</v>
      </c>
      <c r="C193" s="329" t="s">
        <v>1209</v>
      </c>
      <c r="D193" s="329" t="s">
        <v>1849</v>
      </c>
      <c r="E193" s="329" t="s">
        <v>1362</v>
      </c>
      <c r="F193" s="329" t="s">
        <v>1850</v>
      </c>
      <c r="G193" s="329" t="s">
        <v>1852</v>
      </c>
    </row>
    <row r="194" spans="1:7" x14ac:dyDescent="0.25">
      <c r="A194" s="328" t="s">
        <v>1479</v>
      </c>
      <c r="B194" s="329" t="s">
        <v>1848</v>
      </c>
      <c r="C194" s="329" t="s">
        <v>1209</v>
      </c>
      <c r="D194" s="329" t="s">
        <v>1849</v>
      </c>
      <c r="E194" s="329" t="s">
        <v>1362</v>
      </c>
      <c r="F194" s="329" t="s">
        <v>1850</v>
      </c>
      <c r="G194" s="329" t="s">
        <v>1853</v>
      </c>
    </row>
    <row r="195" spans="1:7" x14ac:dyDescent="0.25">
      <c r="A195" s="328" t="s">
        <v>1480</v>
      </c>
      <c r="B195" s="329" t="s">
        <v>1848</v>
      </c>
      <c r="C195" s="329" t="s">
        <v>1209</v>
      </c>
      <c r="D195" s="329" t="s">
        <v>1849</v>
      </c>
      <c r="E195" s="329" t="s">
        <v>1362</v>
      </c>
      <c r="F195" s="329" t="s">
        <v>1850</v>
      </c>
      <c r="G195" s="329" t="s">
        <v>1854</v>
      </c>
    </row>
    <row r="196" spans="1:7" x14ac:dyDescent="0.25">
      <c r="A196" s="328" t="s">
        <v>1481</v>
      </c>
      <c r="B196" s="329" t="s">
        <v>1848</v>
      </c>
      <c r="C196" s="329" t="s">
        <v>1209</v>
      </c>
      <c r="D196" s="329" t="s">
        <v>1849</v>
      </c>
      <c r="E196" s="329" t="s">
        <v>1362</v>
      </c>
      <c r="F196" s="329" t="s">
        <v>1850</v>
      </c>
      <c r="G196" s="329" t="s">
        <v>1855</v>
      </c>
    </row>
    <row r="197" spans="1:7" x14ac:dyDescent="0.25">
      <c r="A197" s="328" t="s">
        <v>1482</v>
      </c>
      <c r="B197" s="329" t="s">
        <v>1848</v>
      </c>
      <c r="C197" s="329" t="s">
        <v>1209</v>
      </c>
      <c r="D197" s="329" t="s">
        <v>1849</v>
      </c>
      <c r="E197" s="329" t="s">
        <v>1362</v>
      </c>
      <c r="F197" s="329" t="s">
        <v>1856</v>
      </c>
      <c r="G197" s="329" t="s">
        <v>1857</v>
      </c>
    </row>
    <row r="198" spans="1:7" x14ac:dyDescent="0.25">
      <c r="A198" s="328" t="s">
        <v>1483</v>
      </c>
      <c r="B198" s="329" t="s">
        <v>1848</v>
      </c>
      <c r="C198" s="329" t="s">
        <v>1209</v>
      </c>
      <c r="D198" s="329" t="s">
        <v>1849</v>
      </c>
      <c r="E198" s="329" t="s">
        <v>1362</v>
      </c>
      <c r="F198" s="329" t="s">
        <v>1856</v>
      </c>
      <c r="G198" s="329" t="s">
        <v>1858</v>
      </c>
    </row>
    <row r="199" spans="1:7" x14ac:dyDescent="0.25">
      <c r="A199" s="328" t="s">
        <v>1484</v>
      </c>
      <c r="B199" s="329" t="s">
        <v>1848</v>
      </c>
      <c r="C199" s="329" t="s">
        <v>1209</v>
      </c>
      <c r="D199" s="329" t="s">
        <v>1859</v>
      </c>
      <c r="E199" s="329" t="s">
        <v>1860</v>
      </c>
      <c r="F199" s="329" t="s">
        <v>1856</v>
      </c>
      <c r="G199" s="329" t="s">
        <v>1861</v>
      </c>
    </row>
    <row r="200" spans="1:7" x14ac:dyDescent="0.25">
      <c r="A200" s="328" t="s">
        <v>1485</v>
      </c>
      <c r="B200" s="329" t="s">
        <v>1848</v>
      </c>
      <c r="C200" s="329" t="s">
        <v>1209</v>
      </c>
      <c r="D200" s="329" t="s">
        <v>1862</v>
      </c>
      <c r="E200" s="329" t="s">
        <v>1863</v>
      </c>
      <c r="F200" s="329" t="s">
        <v>1864</v>
      </c>
      <c r="G200" s="329" t="s">
        <v>1865</v>
      </c>
    </row>
    <row r="201" spans="1:7" x14ac:dyDescent="0.25">
      <c r="A201" s="328" t="s">
        <v>1486</v>
      </c>
      <c r="B201" s="329" t="s">
        <v>1848</v>
      </c>
      <c r="C201" s="329" t="s">
        <v>1209</v>
      </c>
      <c r="D201" s="329" t="s">
        <v>1862</v>
      </c>
      <c r="E201" s="329" t="s">
        <v>1863</v>
      </c>
      <c r="F201" s="329" t="s">
        <v>1866</v>
      </c>
      <c r="G201" s="329" t="s">
        <v>1867</v>
      </c>
    </row>
    <row r="202" spans="1:7" x14ac:dyDescent="0.25">
      <c r="A202" s="328" t="s">
        <v>1488</v>
      </c>
      <c r="B202" s="329" t="s">
        <v>1848</v>
      </c>
      <c r="C202" s="329" t="s">
        <v>1209</v>
      </c>
      <c r="D202" s="329" t="s">
        <v>1862</v>
      </c>
      <c r="E202" s="329" t="s">
        <v>1863</v>
      </c>
      <c r="F202" s="329" t="s">
        <v>1866</v>
      </c>
      <c r="G202" s="329" t="s">
        <v>1868</v>
      </c>
    </row>
    <row r="203" spans="1:7" x14ac:dyDescent="0.25">
      <c r="A203" s="328" t="s">
        <v>1489</v>
      </c>
      <c r="B203" s="329" t="s">
        <v>1848</v>
      </c>
      <c r="C203" s="329" t="s">
        <v>1209</v>
      </c>
      <c r="D203" s="329" t="s">
        <v>1862</v>
      </c>
      <c r="E203" s="329" t="s">
        <v>1863</v>
      </c>
      <c r="F203" s="329" t="s">
        <v>1866</v>
      </c>
      <c r="G203" s="329" t="s">
        <v>1869</v>
      </c>
    </row>
    <row r="204" spans="1:7" x14ac:dyDescent="0.25">
      <c r="A204" s="328" t="s">
        <v>1491</v>
      </c>
      <c r="B204" s="329" t="s">
        <v>1870</v>
      </c>
      <c r="C204" s="329" t="s">
        <v>1871</v>
      </c>
      <c r="D204" s="329" t="s">
        <v>1872</v>
      </c>
      <c r="E204" s="329" t="s">
        <v>1873</v>
      </c>
      <c r="F204" s="329" t="s">
        <v>1874</v>
      </c>
      <c r="G204" s="329" t="s">
        <v>1875</v>
      </c>
    </row>
    <row r="205" spans="1:7" x14ac:dyDescent="0.25">
      <c r="A205" s="328" t="s">
        <v>1492</v>
      </c>
      <c r="B205" s="329" t="s">
        <v>1870</v>
      </c>
      <c r="C205" s="329" t="s">
        <v>1871</v>
      </c>
      <c r="D205" s="329" t="s">
        <v>1872</v>
      </c>
      <c r="E205" s="329" t="s">
        <v>1873</v>
      </c>
      <c r="F205" s="329" t="s">
        <v>1874</v>
      </c>
      <c r="G205" s="329" t="s">
        <v>1876</v>
      </c>
    </row>
    <row r="206" spans="1:7" x14ac:dyDescent="0.25">
      <c r="A206" s="328" t="s">
        <v>1493</v>
      </c>
      <c r="B206" s="329" t="s">
        <v>1870</v>
      </c>
      <c r="C206" s="329" t="s">
        <v>1871</v>
      </c>
      <c r="D206" s="329" t="s">
        <v>1872</v>
      </c>
      <c r="E206" s="329" t="s">
        <v>1873</v>
      </c>
      <c r="F206" s="329" t="s">
        <v>1874</v>
      </c>
      <c r="G206" s="329" t="s">
        <v>1877</v>
      </c>
    </row>
    <row r="207" spans="1:7" x14ac:dyDescent="0.25">
      <c r="A207" s="328" t="s">
        <v>1495</v>
      </c>
      <c r="B207" s="329" t="s">
        <v>1870</v>
      </c>
      <c r="C207" s="329" t="s">
        <v>1871</v>
      </c>
      <c r="D207" s="329" t="s">
        <v>1872</v>
      </c>
      <c r="E207" s="329" t="s">
        <v>1873</v>
      </c>
      <c r="F207" s="329" t="s">
        <v>1878</v>
      </c>
      <c r="G207" s="329" t="s">
        <v>1879</v>
      </c>
    </row>
    <row r="208" spans="1:7" x14ac:dyDescent="0.25">
      <c r="A208" s="328" t="s">
        <v>1496</v>
      </c>
      <c r="B208" s="329" t="s">
        <v>1870</v>
      </c>
      <c r="C208" s="329" t="s">
        <v>1871</v>
      </c>
      <c r="D208" s="329" t="s">
        <v>1872</v>
      </c>
      <c r="E208" s="329" t="s">
        <v>1873</v>
      </c>
      <c r="F208" s="329" t="s">
        <v>1880</v>
      </c>
      <c r="G208" s="329" t="s">
        <v>1365</v>
      </c>
    </row>
    <row r="209" spans="1:7" x14ac:dyDescent="0.25">
      <c r="A209" s="328" t="s">
        <v>1497</v>
      </c>
      <c r="B209" s="329" t="s">
        <v>1870</v>
      </c>
      <c r="C209" s="329" t="s">
        <v>1871</v>
      </c>
      <c r="D209" s="329" t="s">
        <v>1872</v>
      </c>
      <c r="E209" s="329" t="s">
        <v>1873</v>
      </c>
      <c r="F209" s="329" t="s">
        <v>1880</v>
      </c>
      <c r="G209" s="329" t="s">
        <v>1881</v>
      </c>
    </row>
    <row r="210" spans="1:7" x14ac:dyDescent="0.25">
      <c r="A210" s="328" t="s">
        <v>1498</v>
      </c>
      <c r="B210" s="329" t="s">
        <v>1870</v>
      </c>
      <c r="C210" s="329" t="s">
        <v>1871</v>
      </c>
      <c r="D210" s="329" t="s">
        <v>1872</v>
      </c>
      <c r="E210" s="329" t="s">
        <v>1873</v>
      </c>
      <c r="F210" s="329" t="s">
        <v>1880</v>
      </c>
      <c r="G210" s="329" t="s">
        <v>1882</v>
      </c>
    </row>
    <row r="211" spans="1:7" x14ac:dyDescent="0.25">
      <c r="A211" s="328" t="s">
        <v>1499</v>
      </c>
      <c r="B211" s="329" t="s">
        <v>1870</v>
      </c>
      <c r="C211" s="329" t="s">
        <v>1871</v>
      </c>
      <c r="D211" s="329" t="s">
        <v>1872</v>
      </c>
      <c r="E211" s="329" t="s">
        <v>1873</v>
      </c>
      <c r="F211" s="329" t="s">
        <v>1880</v>
      </c>
      <c r="G211" s="329" t="s">
        <v>1883</v>
      </c>
    </row>
    <row r="212" spans="1:7" x14ac:dyDescent="0.25">
      <c r="A212" s="328" t="s">
        <v>1500</v>
      </c>
      <c r="B212" s="329" t="s">
        <v>1870</v>
      </c>
      <c r="C212" s="329" t="s">
        <v>1871</v>
      </c>
      <c r="D212" s="329" t="s">
        <v>1884</v>
      </c>
      <c r="E212" s="329" t="s">
        <v>1873</v>
      </c>
      <c r="F212" s="329" t="s">
        <v>1880</v>
      </c>
      <c r="G212" s="329" t="s">
        <v>1885</v>
      </c>
    </row>
    <row r="213" spans="1:7" x14ac:dyDescent="0.25">
      <c r="A213" s="328" t="s">
        <v>1501</v>
      </c>
      <c r="B213" s="329" t="s">
        <v>1870</v>
      </c>
      <c r="C213" s="329" t="s">
        <v>1871</v>
      </c>
      <c r="D213" s="329" t="s">
        <v>1886</v>
      </c>
      <c r="E213" s="329" t="s">
        <v>1873</v>
      </c>
      <c r="F213" s="329" t="s">
        <v>1880</v>
      </c>
      <c r="G213" s="329" t="s">
        <v>1887</v>
      </c>
    </row>
    <row r="214" spans="1:7" x14ac:dyDescent="0.25">
      <c r="A214" s="328" t="s">
        <v>1502</v>
      </c>
      <c r="B214" s="329" t="s">
        <v>1870</v>
      </c>
      <c r="C214" s="329" t="s">
        <v>1871</v>
      </c>
      <c r="D214" s="329" t="s">
        <v>1886</v>
      </c>
      <c r="E214" s="329" t="s">
        <v>1873</v>
      </c>
      <c r="F214" s="329" t="s">
        <v>1880</v>
      </c>
      <c r="G214" s="329" t="s">
        <v>1888</v>
      </c>
    </row>
    <row r="215" spans="1:7" x14ac:dyDescent="0.25">
      <c r="A215" s="328" t="s">
        <v>1503</v>
      </c>
      <c r="B215" s="329" t="s">
        <v>1870</v>
      </c>
      <c r="C215" s="329" t="s">
        <v>1871</v>
      </c>
      <c r="D215" s="329" t="s">
        <v>1886</v>
      </c>
      <c r="E215" s="329" t="s">
        <v>1873</v>
      </c>
      <c r="F215" s="329" t="s">
        <v>1880</v>
      </c>
      <c r="G215" s="329" t="s">
        <v>1889</v>
      </c>
    </row>
    <row r="216" spans="1:7" x14ac:dyDescent="0.25">
      <c r="B216" s="327" t="s">
        <v>999</v>
      </c>
      <c r="C216" s="327" t="s">
        <v>903</v>
      </c>
      <c r="D216" s="327" t="s">
        <v>1000</v>
      </c>
      <c r="E216" s="327" t="s">
        <v>1001</v>
      </c>
      <c r="F216" s="327" t="s">
        <v>1002</v>
      </c>
      <c r="G216" s="327" t="s">
        <v>904</v>
      </c>
    </row>
    <row r="217" spans="1:7" x14ac:dyDescent="0.25">
      <c r="A217" s="328" t="s">
        <v>1476</v>
      </c>
      <c r="B217" s="329" t="s">
        <v>1890</v>
      </c>
      <c r="C217" s="329" t="s">
        <v>1891</v>
      </c>
      <c r="D217" s="329" t="s">
        <v>1892</v>
      </c>
      <c r="E217" s="329" t="s">
        <v>1893</v>
      </c>
      <c r="F217" s="329" t="s">
        <v>1894</v>
      </c>
      <c r="G217" s="329" t="s">
        <v>1895</v>
      </c>
    </row>
    <row r="218" spans="1:7" x14ac:dyDescent="0.25">
      <c r="A218" s="328" t="s">
        <v>1477</v>
      </c>
      <c r="B218" s="329" t="s">
        <v>1896</v>
      </c>
      <c r="C218" s="329" t="s">
        <v>1897</v>
      </c>
      <c r="D218" s="329" t="s">
        <v>1898</v>
      </c>
      <c r="E218" s="329" t="s">
        <v>1124</v>
      </c>
      <c r="F218" s="329" t="s">
        <v>1899</v>
      </c>
      <c r="G218" s="329" t="s">
        <v>1283</v>
      </c>
    </row>
    <row r="219" spans="1:7" x14ac:dyDescent="0.25">
      <c r="A219" s="328" t="s">
        <v>1478</v>
      </c>
      <c r="B219" s="329" t="s">
        <v>1900</v>
      </c>
      <c r="C219" s="329" t="s">
        <v>1901</v>
      </c>
      <c r="D219" s="329" t="s">
        <v>1902</v>
      </c>
      <c r="E219" s="329" t="s">
        <v>1903</v>
      </c>
      <c r="F219" s="329" t="s">
        <v>1904</v>
      </c>
      <c r="G219" s="329" t="s">
        <v>1905</v>
      </c>
    </row>
    <row r="220" spans="1:7" x14ac:dyDescent="0.25">
      <c r="A220" s="328" t="s">
        <v>1479</v>
      </c>
      <c r="B220" s="329" t="s">
        <v>1906</v>
      </c>
      <c r="C220" s="329" t="s">
        <v>1907</v>
      </c>
      <c r="D220" s="329" t="s">
        <v>1908</v>
      </c>
      <c r="E220" s="329" t="s">
        <v>1215</v>
      </c>
      <c r="F220" s="329" t="s">
        <v>1909</v>
      </c>
      <c r="G220" s="329" t="s">
        <v>1910</v>
      </c>
    </row>
    <row r="221" spans="1:7" x14ac:dyDescent="0.25">
      <c r="A221" s="328" t="s">
        <v>1480</v>
      </c>
      <c r="B221" s="329" t="s">
        <v>1911</v>
      </c>
      <c r="C221" s="329" t="s">
        <v>1912</v>
      </c>
      <c r="D221" s="329" t="s">
        <v>1913</v>
      </c>
      <c r="E221" s="329" t="s">
        <v>1914</v>
      </c>
      <c r="F221" s="329" t="s">
        <v>1915</v>
      </c>
      <c r="G221" s="329" t="s">
        <v>1916</v>
      </c>
    </row>
    <row r="222" spans="1:7" x14ac:dyDescent="0.25">
      <c r="A222" s="328" t="s">
        <v>1481</v>
      </c>
      <c r="B222" s="329" t="s">
        <v>1917</v>
      </c>
      <c r="C222" s="329" t="s">
        <v>1918</v>
      </c>
      <c r="D222" s="329" t="s">
        <v>1919</v>
      </c>
      <c r="E222" s="329" t="s">
        <v>1134</v>
      </c>
      <c r="F222" s="329" t="s">
        <v>1920</v>
      </c>
      <c r="G222" s="329" t="s">
        <v>1921</v>
      </c>
    </row>
    <row r="223" spans="1:7" x14ac:dyDescent="0.25">
      <c r="A223" s="328" t="s">
        <v>1482</v>
      </c>
      <c r="B223" s="329" t="s">
        <v>1922</v>
      </c>
      <c r="C223" s="329" t="s">
        <v>1923</v>
      </c>
      <c r="D223" s="329" t="s">
        <v>1924</v>
      </c>
      <c r="E223" s="329" t="s">
        <v>1925</v>
      </c>
      <c r="F223" s="329" t="s">
        <v>1926</v>
      </c>
      <c r="G223" s="329" t="s">
        <v>1927</v>
      </c>
    </row>
    <row r="224" spans="1:7" x14ac:dyDescent="0.25">
      <c r="A224" s="328" t="s">
        <v>1483</v>
      </c>
      <c r="B224" s="329" t="s">
        <v>1928</v>
      </c>
      <c r="C224" s="329" t="s">
        <v>1929</v>
      </c>
      <c r="D224" s="329" t="s">
        <v>1930</v>
      </c>
      <c r="E224" s="329" t="s">
        <v>1931</v>
      </c>
      <c r="F224" s="329" t="s">
        <v>1932</v>
      </c>
      <c r="G224" s="329" t="s">
        <v>1933</v>
      </c>
    </row>
    <row r="225" spans="1:7" x14ac:dyDescent="0.25">
      <c r="A225" s="328" t="s">
        <v>1484</v>
      </c>
      <c r="B225" s="329" t="s">
        <v>1934</v>
      </c>
      <c r="C225" s="329" t="s">
        <v>1935</v>
      </c>
      <c r="D225" s="329" t="s">
        <v>1936</v>
      </c>
      <c r="E225" s="329" t="s">
        <v>1123</v>
      </c>
      <c r="F225" s="329" t="s">
        <v>1937</v>
      </c>
      <c r="G225" s="329" t="s">
        <v>1916</v>
      </c>
    </row>
    <row r="226" spans="1:7" x14ac:dyDescent="0.25">
      <c r="A226" s="328" t="s">
        <v>1485</v>
      </c>
      <c r="B226" s="329" t="s">
        <v>1938</v>
      </c>
      <c r="C226" s="329" t="s">
        <v>1939</v>
      </c>
      <c r="D226" s="329" t="s">
        <v>1940</v>
      </c>
      <c r="E226" s="329" t="s">
        <v>1941</v>
      </c>
      <c r="F226" s="329" t="s">
        <v>1942</v>
      </c>
      <c r="G226" s="329" t="s">
        <v>1916</v>
      </c>
    </row>
    <row r="227" spans="1:7" x14ac:dyDescent="0.25">
      <c r="A227" s="328" t="s">
        <v>1486</v>
      </c>
      <c r="B227" s="329" t="s">
        <v>1943</v>
      </c>
      <c r="C227" s="329" t="s">
        <v>1944</v>
      </c>
      <c r="D227" s="329" t="s">
        <v>1945</v>
      </c>
      <c r="E227" s="329" t="s">
        <v>1946</v>
      </c>
      <c r="F227" s="329" t="s">
        <v>1947</v>
      </c>
      <c r="G227" s="329" t="s">
        <v>1933</v>
      </c>
    </row>
    <row r="228" spans="1:7" x14ac:dyDescent="0.25">
      <c r="A228" s="328" t="s">
        <v>1488</v>
      </c>
      <c r="B228" s="329" t="s">
        <v>1948</v>
      </c>
      <c r="C228" s="329" t="s">
        <v>1949</v>
      </c>
      <c r="D228" s="329" t="s">
        <v>1950</v>
      </c>
      <c r="E228" s="329" t="s">
        <v>1951</v>
      </c>
      <c r="F228" s="329" t="s">
        <v>1213</v>
      </c>
      <c r="G228" s="329" t="s">
        <v>1952</v>
      </c>
    </row>
    <row r="229" spans="1:7" x14ac:dyDescent="0.25">
      <c r="A229" s="328" t="s">
        <v>1489</v>
      </c>
      <c r="B229" s="329" t="s">
        <v>1367</v>
      </c>
      <c r="C229" s="329" t="s">
        <v>1953</v>
      </c>
      <c r="D229" s="329" t="s">
        <v>1954</v>
      </c>
      <c r="E229" s="329" t="s">
        <v>1955</v>
      </c>
      <c r="F229" s="329" t="s">
        <v>1956</v>
      </c>
      <c r="G229" s="329" t="s">
        <v>1957</v>
      </c>
    </row>
    <row r="230" spans="1:7" x14ac:dyDescent="0.25">
      <c r="A230" s="328" t="s">
        <v>1491</v>
      </c>
      <c r="B230" s="329" t="s">
        <v>1958</v>
      </c>
      <c r="C230" s="329" t="s">
        <v>1959</v>
      </c>
      <c r="D230" s="329" t="s">
        <v>1945</v>
      </c>
      <c r="E230" s="329" t="s">
        <v>1960</v>
      </c>
      <c r="F230" s="329" t="s">
        <v>1961</v>
      </c>
      <c r="G230" s="329" t="s">
        <v>1962</v>
      </c>
    </row>
    <row r="231" spans="1:7" x14ac:dyDescent="0.25">
      <c r="A231" s="328" t="s">
        <v>1492</v>
      </c>
      <c r="B231" s="329" t="s">
        <v>1963</v>
      </c>
      <c r="C231" s="329" t="s">
        <v>1964</v>
      </c>
      <c r="D231" s="329" t="s">
        <v>1965</v>
      </c>
      <c r="E231" s="329" t="s">
        <v>1966</v>
      </c>
      <c r="F231" s="329" t="s">
        <v>1967</v>
      </c>
      <c r="G231" s="329" t="s">
        <v>1968</v>
      </c>
    </row>
    <row r="232" spans="1:7" x14ac:dyDescent="0.25">
      <c r="A232" s="328" t="s">
        <v>1493</v>
      </c>
      <c r="B232" s="329" t="s">
        <v>1969</v>
      </c>
      <c r="C232" s="329" t="s">
        <v>1970</v>
      </c>
      <c r="D232" s="329" t="s">
        <v>1971</v>
      </c>
      <c r="E232" s="329" t="s">
        <v>1972</v>
      </c>
      <c r="F232" s="329" t="s">
        <v>1214</v>
      </c>
      <c r="G232" s="329" t="s">
        <v>1251</v>
      </c>
    </row>
    <row r="233" spans="1:7" x14ac:dyDescent="0.25">
      <c r="A233" s="328" t="s">
        <v>1495</v>
      </c>
      <c r="B233" s="329" t="s">
        <v>1366</v>
      </c>
      <c r="C233" s="329" t="s">
        <v>1973</v>
      </c>
      <c r="D233" s="329" t="s">
        <v>1974</v>
      </c>
      <c r="E233" s="329" t="s">
        <v>1216</v>
      </c>
      <c r="F233" s="329" t="s">
        <v>1975</v>
      </c>
      <c r="G233" s="329" t="s">
        <v>1976</v>
      </c>
    </row>
    <row r="234" spans="1:7" x14ac:dyDescent="0.25">
      <c r="A234" s="328" t="s">
        <v>1496</v>
      </c>
      <c r="B234" s="329" t="s">
        <v>1977</v>
      </c>
      <c r="C234" s="329" t="s">
        <v>1978</v>
      </c>
      <c r="D234" s="329" t="s">
        <v>1979</v>
      </c>
      <c r="E234" s="329" t="s">
        <v>1980</v>
      </c>
      <c r="F234" s="329" t="s">
        <v>1122</v>
      </c>
      <c r="G234" s="329" t="s">
        <v>1905</v>
      </c>
    </row>
    <row r="235" spans="1:7" x14ac:dyDescent="0.25">
      <c r="A235" s="328" t="s">
        <v>1497</v>
      </c>
      <c r="B235" s="329" t="s">
        <v>1981</v>
      </c>
      <c r="C235" s="329" t="s">
        <v>1982</v>
      </c>
      <c r="D235" s="329" t="s">
        <v>1983</v>
      </c>
      <c r="E235" s="329" t="s">
        <v>1212</v>
      </c>
      <c r="F235" s="329" t="s">
        <v>1984</v>
      </c>
      <c r="G235" s="329" t="s">
        <v>1905</v>
      </c>
    </row>
    <row r="236" spans="1:7" x14ac:dyDescent="0.25">
      <c r="A236" s="328" t="s">
        <v>1498</v>
      </c>
      <c r="B236" s="329" t="s">
        <v>1363</v>
      </c>
      <c r="C236" s="329" t="s">
        <v>1985</v>
      </c>
      <c r="D236" s="329" t="s">
        <v>1986</v>
      </c>
      <c r="E236" s="329" t="s">
        <v>1987</v>
      </c>
      <c r="F236" s="329" t="s">
        <v>1988</v>
      </c>
      <c r="G236" s="329" t="s">
        <v>1905</v>
      </c>
    </row>
    <row r="237" spans="1:7" x14ac:dyDescent="0.25">
      <c r="A237" s="328" t="s">
        <v>1499</v>
      </c>
      <c r="B237" s="329" t="s">
        <v>1989</v>
      </c>
      <c r="C237" s="329" t="s">
        <v>1990</v>
      </c>
      <c r="D237" s="329" t="s">
        <v>1991</v>
      </c>
      <c r="E237" s="329" t="s">
        <v>1992</v>
      </c>
      <c r="F237" s="329" t="s">
        <v>1081</v>
      </c>
      <c r="G237" s="329" t="s">
        <v>1993</v>
      </c>
    </row>
    <row r="238" spans="1:7" x14ac:dyDescent="0.25">
      <c r="A238" s="328" t="s">
        <v>1500</v>
      </c>
      <c r="B238" s="329" t="s">
        <v>1994</v>
      </c>
      <c r="C238" s="329" t="s">
        <v>1995</v>
      </c>
      <c r="D238" s="329" t="s">
        <v>1996</v>
      </c>
      <c r="E238" s="329" t="s">
        <v>1997</v>
      </c>
      <c r="F238" s="329" t="s">
        <v>1998</v>
      </c>
      <c r="G238" s="329" t="s">
        <v>1999</v>
      </c>
    </row>
    <row r="239" spans="1:7" x14ac:dyDescent="0.25">
      <c r="A239" s="328" t="s">
        <v>1501</v>
      </c>
      <c r="B239" s="329" t="s">
        <v>1364</v>
      </c>
      <c r="C239" s="329" t="s">
        <v>2000</v>
      </c>
      <c r="D239" s="329" t="s">
        <v>2001</v>
      </c>
      <c r="E239" s="329" t="s">
        <v>2002</v>
      </c>
      <c r="F239" s="329" t="s">
        <v>2003</v>
      </c>
      <c r="G239" s="329" t="s">
        <v>2004</v>
      </c>
    </row>
    <row r="240" spans="1:7" x14ac:dyDescent="0.25">
      <c r="A240" s="328" t="s">
        <v>1502</v>
      </c>
      <c r="B240" s="329" t="s">
        <v>2005</v>
      </c>
      <c r="C240" s="329" t="s">
        <v>2006</v>
      </c>
      <c r="D240" s="329" t="s">
        <v>2007</v>
      </c>
      <c r="E240" s="329" t="s">
        <v>2008</v>
      </c>
      <c r="F240" s="329" t="s">
        <v>1956</v>
      </c>
      <c r="G240" s="329" t="s">
        <v>2009</v>
      </c>
    </row>
    <row r="241" spans="1:7" x14ac:dyDescent="0.25">
      <c r="A241" s="328" t="s">
        <v>1503</v>
      </c>
      <c r="B241" s="329" t="s">
        <v>2010</v>
      </c>
      <c r="C241" s="329" t="s">
        <v>2011</v>
      </c>
      <c r="D241" s="329" t="s">
        <v>2012</v>
      </c>
      <c r="E241" s="329" t="s">
        <v>2013</v>
      </c>
      <c r="F241" s="329" t="s">
        <v>2014</v>
      </c>
      <c r="G241" s="329" t="s">
        <v>2015</v>
      </c>
    </row>
    <row r="242" spans="1:7" x14ac:dyDescent="0.25">
      <c r="B242" s="327" t="s">
        <v>905</v>
      </c>
      <c r="C242" s="327" t="s">
        <v>947</v>
      </c>
      <c r="D242" s="327" t="s">
        <v>906</v>
      </c>
      <c r="E242" s="327" t="s">
        <v>947</v>
      </c>
      <c r="F242" s="327" t="s">
        <v>907</v>
      </c>
      <c r="G242" s="327" t="s">
        <v>908</v>
      </c>
    </row>
    <row r="243" spans="1:7" x14ac:dyDescent="0.25">
      <c r="A243" s="328" t="s">
        <v>1476</v>
      </c>
      <c r="B243" s="329" t="s">
        <v>2016</v>
      </c>
      <c r="C243" s="329" t="s">
        <v>2017</v>
      </c>
      <c r="D243" s="329" t="s">
        <v>2018</v>
      </c>
      <c r="E243" s="329" t="s">
        <v>2019</v>
      </c>
      <c r="F243" s="329" t="s">
        <v>1121</v>
      </c>
      <c r="G243" s="329" t="s">
        <v>2020</v>
      </c>
    </row>
    <row r="244" spans="1:7" x14ac:dyDescent="0.25">
      <c r="A244" s="328" t="s">
        <v>1477</v>
      </c>
      <c r="B244" s="329" t="s">
        <v>2021</v>
      </c>
      <c r="C244" s="329" t="s">
        <v>1371</v>
      </c>
      <c r="D244" s="329" t="s">
        <v>2022</v>
      </c>
      <c r="E244" s="329" t="s">
        <v>2023</v>
      </c>
      <c r="F244" s="329" t="s">
        <v>2024</v>
      </c>
      <c r="G244" s="329" t="s">
        <v>2025</v>
      </c>
    </row>
    <row r="245" spans="1:7" x14ac:dyDescent="0.25">
      <c r="A245" s="328" t="s">
        <v>1478</v>
      </c>
      <c r="B245" s="329" t="s">
        <v>2021</v>
      </c>
      <c r="C245" s="329" t="s">
        <v>1371</v>
      </c>
      <c r="D245" s="329" t="s">
        <v>2022</v>
      </c>
      <c r="E245" s="329" t="s">
        <v>2023</v>
      </c>
      <c r="F245" s="329" t="s">
        <v>2024</v>
      </c>
      <c r="G245" s="329" t="s">
        <v>2025</v>
      </c>
    </row>
    <row r="246" spans="1:7" x14ac:dyDescent="0.25">
      <c r="A246" s="328" t="s">
        <v>1479</v>
      </c>
      <c r="B246" s="329" t="s">
        <v>2021</v>
      </c>
      <c r="C246" s="329" t="s">
        <v>1371</v>
      </c>
      <c r="D246" s="329" t="s">
        <v>2022</v>
      </c>
      <c r="E246" s="329" t="s">
        <v>2023</v>
      </c>
      <c r="F246" s="329" t="s">
        <v>2024</v>
      </c>
      <c r="G246" s="329" t="s">
        <v>2026</v>
      </c>
    </row>
    <row r="247" spans="1:7" x14ac:dyDescent="0.25">
      <c r="A247" s="328" t="s">
        <v>1480</v>
      </c>
      <c r="B247" s="329" t="s">
        <v>2021</v>
      </c>
      <c r="C247" s="329" t="s">
        <v>1371</v>
      </c>
      <c r="D247" s="329" t="s">
        <v>2022</v>
      </c>
      <c r="E247" s="329" t="s">
        <v>2023</v>
      </c>
      <c r="F247" s="329" t="s">
        <v>2024</v>
      </c>
      <c r="G247" s="329" t="s">
        <v>2027</v>
      </c>
    </row>
    <row r="248" spans="1:7" x14ac:dyDescent="0.25">
      <c r="A248" s="328" t="s">
        <v>1481</v>
      </c>
      <c r="B248" s="329" t="s">
        <v>2021</v>
      </c>
      <c r="C248" s="329" t="s">
        <v>1371</v>
      </c>
      <c r="D248" s="329" t="s">
        <v>2022</v>
      </c>
      <c r="E248" s="329" t="s">
        <v>2023</v>
      </c>
      <c r="F248" s="329" t="s">
        <v>2028</v>
      </c>
      <c r="G248" s="329" t="s">
        <v>2029</v>
      </c>
    </row>
    <row r="249" spans="1:7" x14ac:dyDescent="0.25">
      <c r="A249" s="328" t="s">
        <v>1482</v>
      </c>
      <c r="B249" s="329" t="s">
        <v>2021</v>
      </c>
      <c r="C249" s="329" t="s">
        <v>1371</v>
      </c>
      <c r="D249" s="329" t="s">
        <v>2022</v>
      </c>
      <c r="E249" s="329" t="s">
        <v>2023</v>
      </c>
      <c r="F249" s="329" t="s">
        <v>2030</v>
      </c>
      <c r="G249" s="329" t="s">
        <v>2031</v>
      </c>
    </row>
    <row r="250" spans="1:7" x14ac:dyDescent="0.25">
      <c r="A250" s="328" t="s">
        <v>1483</v>
      </c>
      <c r="B250" s="329" t="s">
        <v>2021</v>
      </c>
      <c r="C250" s="329" t="s">
        <v>1371</v>
      </c>
      <c r="D250" s="329" t="s">
        <v>2022</v>
      </c>
      <c r="E250" s="329" t="s">
        <v>2023</v>
      </c>
      <c r="F250" s="329" t="s">
        <v>2030</v>
      </c>
      <c r="G250" s="329" t="s">
        <v>2032</v>
      </c>
    </row>
    <row r="251" spans="1:7" x14ac:dyDescent="0.25">
      <c r="A251" s="328" t="s">
        <v>1484</v>
      </c>
      <c r="B251" s="329" t="s">
        <v>2021</v>
      </c>
      <c r="C251" s="329" t="s">
        <v>1371</v>
      </c>
      <c r="D251" s="329" t="s">
        <v>2022</v>
      </c>
      <c r="E251" s="329" t="s">
        <v>2023</v>
      </c>
      <c r="F251" s="329" t="s">
        <v>2030</v>
      </c>
      <c r="G251" s="329" t="s">
        <v>2033</v>
      </c>
    </row>
    <row r="252" spans="1:7" x14ac:dyDescent="0.25">
      <c r="A252" s="328" t="s">
        <v>1485</v>
      </c>
      <c r="B252" s="329" t="s">
        <v>2021</v>
      </c>
      <c r="C252" s="329" t="s">
        <v>1371</v>
      </c>
      <c r="D252" s="329" t="s">
        <v>2022</v>
      </c>
      <c r="E252" s="329" t="s">
        <v>2023</v>
      </c>
      <c r="F252" s="329" t="s">
        <v>2030</v>
      </c>
      <c r="G252" s="329" t="s">
        <v>2034</v>
      </c>
    </row>
    <row r="253" spans="1:7" x14ac:dyDescent="0.25">
      <c r="A253" s="328" t="s">
        <v>1486</v>
      </c>
      <c r="B253" s="329" t="s">
        <v>2021</v>
      </c>
      <c r="C253" s="329" t="s">
        <v>1371</v>
      </c>
      <c r="D253" s="329" t="s">
        <v>1295</v>
      </c>
      <c r="E253" s="329" t="s">
        <v>2023</v>
      </c>
      <c r="F253" s="329" t="s">
        <v>2030</v>
      </c>
      <c r="G253" s="329" t="s">
        <v>2035</v>
      </c>
    </row>
    <row r="254" spans="1:7" x14ac:dyDescent="0.25">
      <c r="A254" s="328" t="s">
        <v>1488</v>
      </c>
      <c r="B254" s="329" t="s">
        <v>2021</v>
      </c>
      <c r="C254" s="329" t="s">
        <v>1371</v>
      </c>
      <c r="D254" s="329" t="s">
        <v>2036</v>
      </c>
      <c r="E254" s="329" t="s">
        <v>2023</v>
      </c>
      <c r="F254" s="329" t="s">
        <v>2030</v>
      </c>
      <c r="G254" s="329" t="s">
        <v>2037</v>
      </c>
    </row>
    <row r="255" spans="1:7" x14ac:dyDescent="0.25">
      <c r="A255" s="328" t="s">
        <v>1489</v>
      </c>
      <c r="B255" s="329" t="s">
        <v>2021</v>
      </c>
      <c r="C255" s="329" t="s">
        <v>1371</v>
      </c>
      <c r="D255" s="329" t="s">
        <v>2036</v>
      </c>
      <c r="E255" s="329" t="s">
        <v>2023</v>
      </c>
      <c r="F255" s="329" t="s">
        <v>2030</v>
      </c>
      <c r="G255" s="329" t="s">
        <v>2027</v>
      </c>
    </row>
    <row r="256" spans="1:7" x14ac:dyDescent="0.25">
      <c r="A256" s="328" t="s">
        <v>1491</v>
      </c>
      <c r="B256" s="329" t="s">
        <v>1372</v>
      </c>
      <c r="C256" s="329" t="s">
        <v>2038</v>
      </c>
      <c r="D256" s="329" t="s">
        <v>2039</v>
      </c>
      <c r="E256" s="329" t="s">
        <v>2040</v>
      </c>
      <c r="F256" s="329" t="s">
        <v>1227</v>
      </c>
      <c r="G256" s="329" t="s">
        <v>2029</v>
      </c>
    </row>
    <row r="257" spans="1:7" x14ac:dyDescent="0.25">
      <c r="A257" s="328" t="s">
        <v>1492</v>
      </c>
      <c r="B257" s="329" t="s">
        <v>1372</v>
      </c>
      <c r="C257" s="329" t="s">
        <v>2038</v>
      </c>
      <c r="D257" s="329" t="s">
        <v>2039</v>
      </c>
      <c r="E257" s="329" t="s">
        <v>2040</v>
      </c>
      <c r="F257" s="329" t="s">
        <v>1227</v>
      </c>
      <c r="G257" s="329" t="s">
        <v>2029</v>
      </c>
    </row>
    <row r="258" spans="1:7" x14ac:dyDescent="0.25">
      <c r="A258" s="328" t="s">
        <v>1493</v>
      </c>
      <c r="B258" s="329" t="s">
        <v>1372</v>
      </c>
      <c r="C258" s="329" t="s">
        <v>2038</v>
      </c>
      <c r="D258" s="329" t="s">
        <v>2039</v>
      </c>
      <c r="E258" s="329" t="s">
        <v>2041</v>
      </c>
      <c r="F258" s="329" t="s">
        <v>1227</v>
      </c>
      <c r="G258" s="329" t="s">
        <v>2042</v>
      </c>
    </row>
    <row r="259" spans="1:7" x14ac:dyDescent="0.25">
      <c r="A259" s="328" t="s">
        <v>1495</v>
      </c>
      <c r="B259" s="329" t="s">
        <v>1372</v>
      </c>
      <c r="C259" s="329" t="s">
        <v>2038</v>
      </c>
      <c r="D259" s="329" t="s">
        <v>2039</v>
      </c>
      <c r="E259" s="329" t="s">
        <v>2023</v>
      </c>
      <c r="F259" s="329" t="s">
        <v>1227</v>
      </c>
      <c r="G259" s="329" t="s">
        <v>2043</v>
      </c>
    </row>
    <row r="260" spans="1:7" x14ac:dyDescent="0.25">
      <c r="A260" s="328" t="s">
        <v>1496</v>
      </c>
      <c r="B260" s="329" t="s">
        <v>1372</v>
      </c>
      <c r="C260" s="329" t="s">
        <v>2038</v>
      </c>
      <c r="D260" s="329" t="s">
        <v>2039</v>
      </c>
      <c r="E260" s="329" t="s">
        <v>2044</v>
      </c>
      <c r="F260" s="329" t="s">
        <v>1227</v>
      </c>
      <c r="G260" s="329" t="s">
        <v>2045</v>
      </c>
    </row>
    <row r="261" spans="1:7" x14ac:dyDescent="0.25">
      <c r="A261" s="328" t="s">
        <v>1497</v>
      </c>
      <c r="B261" s="329" t="s">
        <v>1372</v>
      </c>
      <c r="C261" s="329" t="s">
        <v>2038</v>
      </c>
      <c r="D261" s="329" t="s">
        <v>2039</v>
      </c>
      <c r="E261" s="329" t="s">
        <v>2044</v>
      </c>
      <c r="F261" s="329" t="s">
        <v>1227</v>
      </c>
      <c r="G261" s="329" t="s">
        <v>2046</v>
      </c>
    </row>
    <row r="262" spans="1:7" x14ac:dyDescent="0.25">
      <c r="A262" s="328" t="s">
        <v>1498</v>
      </c>
      <c r="B262" s="329" t="s">
        <v>1372</v>
      </c>
      <c r="C262" s="329" t="s">
        <v>2038</v>
      </c>
      <c r="D262" s="329" t="s">
        <v>2039</v>
      </c>
      <c r="E262" s="329" t="s">
        <v>2044</v>
      </c>
      <c r="F262" s="329" t="s">
        <v>1227</v>
      </c>
      <c r="G262" s="329" t="s">
        <v>2047</v>
      </c>
    </row>
    <row r="263" spans="1:7" x14ac:dyDescent="0.25">
      <c r="A263" s="328" t="s">
        <v>1499</v>
      </c>
      <c r="B263" s="329" t="s">
        <v>1372</v>
      </c>
      <c r="C263" s="329" t="s">
        <v>2038</v>
      </c>
      <c r="D263" s="329" t="s">
        <v>2039</v>
      </c>
      <c r="E263" s="329" t="s">
        <v>2044</v>
      </c>
      <c r="F263" s="329" t="s">
        <v>1227</v>
      </c>
      <c r="G263" s="329" t="s">
        <v>2037</v>
      </c>
    </row>
    <row r="264" spans="1:7" x14ac:dyDescent="0.25">
      <c r="A264" s="328" t="s">
        <v>1500</v>
      </c>
      <c r="B264" s="329" t="s">
        <v>1372</v>
      </c>
      <c r="C264" s="329" t="s">
        <v>2038</v>
      </c>
      <c r="D264" s="329" t="s">
        <v>2039</v>
      </c>
      <c r="E264" s="329" t="s">
        <v>2044</v>
      </c>
      <c r="F264" s="329" t="s">
        <v>1227</v>
      </c>
      <c r="G264" s="329" t="s">
        <v>2048</v>
      </c>
    </row>
    <row r="265" spans="1:7" x14ac:dyDescent="0.25">
      <c r="A265" s="328" t="s">
        <v>1501</v>
      </c>
      <c r="B265" s="329" t="s">
        <v>1372</v>
      </c>
      <c r="C265" s="329" t="s">
        <v>2038</v>
      </c>
      <c r="D265" s="329" t="s">
        <v>2039</v>
      </c>
      <c r="E265" s="329" t="s">
        <v>2049</v>
      </c>
      <c r="F265" s="329" t="s">
        <v>1227</v>
      </c>
      <c r="G265" s="329" t="s">
        <v>2050</v>
      </c>
    </row>
    <row r="266" spans="1:7" x14ac:dyDescent="0.25">
      <c r="A266" s="328" t="s">
        <v>1502</v>
      </c>
      <c r="B266" s="329" t="s">
        <v>1372</v>
      </c>
      <c r="C266" s="329" t="s">
        <v>2038</v>
      </c>
      <c r="D266" s="329" t="s">
        <v>2039</v>
      </c>
      <c r="E266" s="329" t="s">
        <v>2051</v>
      </c>
      <c r="F266" s="329" t="s">
        <v>1228</v>
      </c>
      <c r="G266" s="329" t="s">
        <v>2048</v>
      </c>
    </row>
    <row r="267" spans="1:7" x14ac:dyDescent="0.25">
      <c r="A267" s="328" t="s">
        <v>1503</v>
      </c>
      <c r="B267" s="329" t="s">
        <v>1372</v>
      </c>
      <c r="C267" s="329" t="s">
        <v>2052</v>
      </c>
      <c r="D267" s="329" t="s">
        <v>2039</v>
      </c>
      <c r="E267" s="329" t="s">
        <v>2053</v>
      </c>
      <c r="F267" s="329" t="s">
        <v>1220</v>
      </c>
      <c r="G267" s="329" t="s">
        <v>2054</v>
      </c>
    </row>
    <row r="268" spans="1:7" x14ac:dyDescent="0.25">
      <c r="B268" s="327" t="s">
        <v>908</v>
      </c>
      <c r="C268" s="327" t="s">
        <v>948</v>
      </c>
      <c r="D268" s="327" t="s">
        <v>948</v>
      </c>
      <c r="E268" s="327" t="s">
        <v>909</v>
      </c>
      <c r="F268" s="327" t="s">
        <v>909</v>
      </c>
      <c r="G268" s="327" t="s">
        <v>948</v>
      </c>
    </row>
    <row r="269" spans="1:7" x14ac:dyDescent="0.25">
      <c r="A269" s="328" t="s">
        <v>1476</v>
      </c>
      <c r="B269" s="329" t="s">
        <v>2055</v>
      </c>
      <c r="C269" s="329" t="s">
        <v>2056</v>
      </c>
      <c r="D269" s="329" t="s">
        <v>1243</v>
      </c>
      <c r="E269" s="329" t="s">
        <v>2057</v>
      </c>
      <c r="F269" s="329" t="s">
        <v>2058</v>
      </c>
      <c r="G269" s="329" t="s">
        <v>2059</v>
      </c>
    </row>
    <row r="270" spans="1:7" x14ac:dyDescent="0.25">
      <c r="A270" s="328" t="s">
        <v>1477</v>
      </c>
      <c r="B270" s="329" t="s">
        <v>2060</v>
      </c>
      <c r="C270" s="329" t="s">
        <v>2061</v>
      </c>
      <c r="D270" s="329" t="s">
        <v>1376</v>
      </c>
      <c r="E270" s="329" t="s">
        <v>2062</v>
      </c>
      <c r="F270" s="329" t="s">
        <v>2063</v>
      </c>
      <c r="G270" s="329" t="s">
        <v>2064</v>
      </c>
    </row>
    <row r="271" spans="1:7" x14ac:dyDescent="0.25">
      <c r="A271" s="328" t="s">
        <v>1478</v>
      </c>
      <c r="B271" s="329" t="s">
        <v>2065</v>
      </c>
      <c r="C271" s="329" t="s">
        <v>2066</v>
      </c>
      <c r="D271" s="329" t="s">
        <v>1380</v>
      </c>
      <c r="E271" s="329" t="s">
        <v>2067</v>
      </c>
      <c r="F271" s="329" t="s">
        <v>2068</v>
      </c>
      <c r="G271" s="329" t="s">
        <v>2069</v>
      </c>
    </row>
    <row r="272" spans="1:7" x14ac:dyDescent="0.25">
      <c r="A272" s="328" t="s">
        <v>1479</v>
      </c>
      <c r="B272" s="329" t="s">
        <v>2070</v>
      </c>
      <c r="C272" s="329" t="s">
        <v>2071</v>
      </c>
      <c r="D272" s="329" t="s">
        <v>2072</v>
      </c>
      <c r="E272" s="329" t="s">
        <v>2073</v>
      </c>
      <c r="F272" s="329" t="s">
        <v>2074</v>
      </c>
      <c r="G272" s="329" t="s">
        <v>2075</v>
      </c>
    </row>
    <row r="273" spans="1:7" x14ac:dyDescent="0.25">
      <c r="A273" s="328" t="s">
        <v>1480</v>
      </c>
      <c r="B273" s="329" t="s">
        <v>2076</v>
      </c>
      <c r="C273" s="329" t="s">
        <v>2077</v>
      </c>
      <c r="D273" s="329" t="s">
        <v>1375</v>
      </c>
      <c r="E273" s="329" t="s">
        <v>2067</v>
      </c>
      <c r="F273" s="329" t="s">
        <v>2078</v>
      </c>
      <c r="G273" s="329" t="s">
        <v>2075</v>
      </c>
    </row>
    <row r="274" spans="1:7" x14ac:dyDescent="0.25">
      <c r="A274" s="328" t="s">
        <v>1481</v>
      </c>
      <c r="B274" s="329" t="s">
        <v>2037</v>
      </c>
      <c r="C274" s="329" t="s">
        <v>2079</v>
      </c>
      <c r="D274" s="329" t="s">
        <v>1377</v>
      </c>
      <c r="E274" s="329" t="s">
        <v>2080</v>
      </c>
      <c r="F274" s="329" t="s">
        <v>2081</v>
      </c>
      <c r="G274" s="329" t="s">
        <v>1236</v>
      </c>
    </row>
    <row r="275" spans="1:7" x14ac:dyDescent="0.25">
      <c r="A275" s="328" t="s">
        <v>1482</v>
      </c>
      <c r="B275" s="329" t="s">
        <v>2082</v>
      </c>
      <c r="C275" s="329" t="s">
        <v>2083</v>
      </c>
      <c r="D275" s="329" t="s">
        <v>2084</v>
      </c>
      <c r="E275" s="329" t="s">
        <v>2085</v>
      </c>
      <c r="F275" s="329" t="s">
        <v>2063</v>
      </c>
      <c r="G275" s="329" t="s">
        <v>2086</v>
      </c>
    </row>
    <row r="276" spans="1:7" x14ac:dyDescent="0.25">
      <c r="A276" s="328" t="s">
        <v>1483</v>
      </c>
      <c r="B276" s="329" t="s">
        <v>2087</v>
      </c>
      <c r="C276" s="329" t="s">
        <v>2088</v>
      </c>
      <c r="D276" s="329" t="s">
        <v>2089</v>
      </c>
      <c r="E276" s="329" t="s">
        <v>2080</v>
      </c>
      <c r="F276" s="329" t="s">
        <v>1234</v>
      </c>
      <c r="G276" s="329" t="s">
        <v>2069</v>
      </c>
    </row>
    <row r="277" spans="1:7" x14ac:dyDescent="0.25">
      <c r="A277" s="328" t="s">
        <v>1484</v>
      </c>
      <c r="B277" s="329" t="s">
        <v>2090</v>
      </c>
      <c r="C277" s="329" t="s">
        <v>2091</v>
      </c>
      <c r="D277" s="329" t="s">
        <v>1229</v>
      </c>
      <c r="E277" s="329" t="s">
        <v>2092</v>
      </c>
      <c r="F277" s="329" t="s">
        <v>1234</v>
      </c>
      <c r="G277" s="329" t="s">
        <v>2093</v>
      </c>
    </row>
    <row r="278" spans="1:7" x14ac:dyDescent="0.25">
      <c r="A278" s="328" t="s">
        <v>1485</v>
      </c>
      <c r="B278" s="329" t="s">
        <v>2094</v>
      </c>
      <c r="C278" s="329" t="s">
        <v>2095</v>
      </c>
      <c r="D278" s="329" t="s">
        <v>2096</v>
      </c>
      <c r="E278" s="329" t="s">
        <v>2097</v>
      </c>
      <c r="F278" s="329" t="s">
        <v>2098</v>
      </c>
      <c r="G278" s="329" t="s">
        <v>2099</v>
      </c>
    </row>
    <row r="279" spans="1:7" x14ac:dyDescent="0.25">
      <c r="A279" s="328" t="s">
        <v>1486</v>
      </c>
      <c r="B279" s="329" t="s">
        <v>2100</v>
      </c>
      <c r="C279" s="329" t="s">
        <v>2101</v>
      </c>
      <c r="D279" s="329" t="s">
        <v>1370</v>
      </c>
      <c r="E279" s="329" t="s">
        <v>2102</v>
      </c>
      <c r="F279" s="329" t="s">
        <v>2103</v>
      </c>
      <c r="G279" s="329" t="s">
        <v>2104</v>
      </c>
    </row>
    <row r="280" spans="1:7" x14ac:dyDescent="0.25">
      <c r="A280" s="328" t="s">
        <v>1488</v>
      </c>
      <c r="B280" s="329" t="s">
        <v>2105</v>
      </c>
      <c r="C280" s="329" t="s">
        <v>2106</v>
      </c>
      <c r="D280" s="329" t="s">
        <v>1373</v>
      </c>
      <c r="E280" s="329" t="s">
        <v>2074</v>
      </c>
      <c r="F280" s="329" t="s">
        <v>2107</v>
      </c>
      <c r="G280" s="329" t="s">
        <v>2108</v>
      </c>
    </row>
    <row r="281" spans="1:7" x14ac:dyDescent="0.25">
      <c r="A281" s="328" t="s">
        <v>1489</v>
      </c>
      <c r="B281" s="329" t="s">
        <v>2090</v>
      </c>
      <c r="C281" s="329" t="s">
        <v>2109</v>
      </c>
      <c r="D281" s="329" t="s">
        <v>1373</v>
      </c>
      <c r="E281" s="329" t="s">
        <v>2110</v>
      </c>
      <c r="F281" s="329" t="s">
        <v>2111</v>
      </c>
      <c r="G281" s="329" t="s">
        <v>2112</v>
      </c>
    </row>
    <row r="282" spans="1:7" x14ac:dyDescent="0.25">
      <c r="A282" s="328" t="s">
        <v>1491</v>
      </c>
      <c r="B282" s="329" t="s">
        <v>2113</v>
      </c>
      <c r="C282" s="329" t="s">
        <v>2114</v>
      </c>
      <c r="D282" s="329" t="s">
        <v>2115</v>
      </c>
      <c r="E282" s="329" t="s">
        <v>2116</v>
      </c>
      <c r="F282" s="329" t="s">
        <v>2117</v>
      </c>
      <c r="G282" s="329" t="s">
        <v>1379</v>
      </c>
    </row>
    <row r="283" spans="1:7" x14ac:dyDescent="0.25">
      <c r="A283" s="328" t="s">
        <v>1492</v>
      </c>
      <c r="B283" s="329" t="s">
        <v>2050</v>
      </c>
      <c r="C283" s="329" t="s">
        <v>2118</v>
      </c>
      <c r="D283" s="329" t="s">
        <v>1235</v>
      </c>
      <c r="E283" s="329" t="s">
        <v>2119</v>
      </c>
      <c r="F283" s="329" t="s">
        <v>2103</v>
      </c>
      <c r="G283" s="329" t="s">
        <v>1379</v>
      </c>
    </row>
    <row r="284" spans="1:7" x14ac:dyDescent="0.25">
      <c r="A284" s="328" t="s">
        <v>1493</v>
      </c>
      <c r="B284" s="329" t="s">
        <v>2120</v>
      </c>
      <c r="C284" s="329" t="s">
        <v>2121</v>
      </c>
      <c r="D284" s="329" t="s">
        <v>1230</v>
      </c>
      <c r="E284" s="329" t="s">
        <v>2122</v>
      </c>
      <c r="F284" s="329" t="s">
        <v>2103</v>
      </c>
      <c r="G284" s="329" t="s">
        <v>2123</v>
      </c>
    </row>
    <row r="285" spans="1:7" x14ac:dyDescent="0.25">
      <c r="A285" s="328" t="s">
        <v>1495</v>
      </c>
      <c r="B285" s="329" t="s">
        <v>2124</v>
      </c>
      <c r="C285" s="329" t="s">
        <v>2125</v>
      </c>
      <c r="D285" s="329" t="s">
        <v>2096</v>
      </c>
      <c r="E285" s="329" t="s">
        <v>2126</v>
      </c>
      <c r="F285" s="329" t="s">
        <v>2103</v>
      </c>
      <c r="G285" s="329" t="s">
        <v>2127</v>
      </c>
    </row>
    <row r="286" spans="1:7" x14ac:dyDescent="0.25">
      <c r="A286" s="328" t="s">
        <v>1496</v>
      </c>
      <c r="B286" s="329" t="s">
        <v>2128</v>
      </c>
      <c r="C286" s="329" t="s">
        <v>2129</v>
      </c>
      <c r="D286" s="329" t="s">
        <v>1378</v>
      </c>
      <c r="E286" s="329" t="s">
        <v>2130</v>
      </c>
      <c r="F286" s="329" t="s">
        <v>2131</v>
      </c>
      <c r="G286" s="329" t="s">
        <v>2127</v>
      </c>
    </row>
    <row r="287" spans="1:7" x14ac:dyDescent="0.25">
      <c r="A287" s="328" t="s">
        <v>1497</v>
      </c>
      <c r="B287" s="329" t="s">
        <v>2132</v>
      </c>
      <c r="C287" s="329" t="s">
        <v>2133</v>
      </c>
      <c r="D287" s="329" t="s">
        <v>1378</v>
      </c>
      <c r="E287" s="329" t="s">
        <v>2134</v>
      </c>
      <c r="F287" s="329" t="s">
        <v>2117</v>
      </c>
      <c r="G287" s="329" t="s">
        <v>2135</v>
      </c>
    </row>
    <row r="288" spans="1:7" x14ac:dyDescent="0.25">
      <c r="A288" s="328" t="s">
        <v>1498</v>
      </c>
      <c r="B288" s="329" t="s">
        <v>2136</v>
      </c>
      <c r="C288" s="329" t="s">
        <v>2137</v>
      </c>
      <c r="D288" s="329" t="s">
        <v>1373</v>
      </c>
      <c r="E288" s="329" t="s">
        <v>2138</v>
      </c>
      <c r="F288" s="329" t="s">
        <v>2139</v>
      </c>
      <c r="G288" s="329" t="s">
        <v>1236</v>
      </c>
    </row>
    <row r="289" spans="1:7" x14ac:dyDescent="0.25">
      <c r="A289" s="328" t="s">
        <v>1499</v>
      </c>
      <c r="B289" s="329" t="s">
        <v>2054</v>
      </c>
      <c r="C289" s="329" t="s">
        <v>2106</v>
      </c>
      <c r="D289" s="329" t="s">
        <v>1368</v>
      </c>
      <c r="E289" s="329" t="s">
        <v>2140</v>
      </c>
      <c r="F289" s="329" t="s">
        <v>2141</v>
      </c>
      <c r="G289" s="329" t="s">
        <v>1230</v>
      </c>
    </row>
    <row r="290" spans="1:7" x14ac:dyDescent="0.25">
      <c r="A290" s="328" t="s">
        <v>1500</v>
      </c>
      <c r="B290" s="329" t="s">
        <v>2142</v>
      </c>
      <c r="C290" s="329" t="s">
        <v>2143</v>
      </c>
      <c r="D290" s="329" t="s">
        <v>1370</v>
      </c>
      <c r="E290" s="329" t="s">
        <v>2067</v>
      </c>
      <c r="F290" s="329" t="s">
        <v>2111</v>
      </c>
      <c r="G290" s="329" t="s">
        <v>2144</v>
      </c>
    </row>
    <row r="291" spans="1:7" x14ac:dyDescent="0.25">
      <c r="A291" s="328" t="s">
        <v>1501</v>
      </c>
      <c r="B291" s="329" t="s">
        <v>2087</v>
      </c>
      <c r="C291" s="329" t="s">
        <v>2145</v>
      </c>
      <c r="D291" s="329" t="s">
        <v>1369</v>
      </c>
      <c r="E291" s="329" t="s">
        <v>2146</v>
      </c>
      <c r="F291" s="329" t="s">
        <v>2147</v>
      </c>
      <c r="G291" s="329" t="s">
        <v>2148</v>
      </c>
    </row>
    <row r="292" spans="1:7" x14ac:dyDescent="0.25">
      <c r="A292" s="328" t="s">
        <v>1502</v>
      </c>
      <c r="B292" s="329" t="s">
        <v>2105</v>
      </c>
      <c r="C292" s="329" t="s">
        <v>2118</v>
      </c>
      <c r="D292" s="329" t="s">
        <v>1128</v>
      </c>
      <c r="E292" s="329" t="s">
        <v>2149</v>
      </c>
      <c r="F292" s="329" t="s">
        <v>2150</v>
      </c>
      <c r="G292" s="329" t="s">
        <v>1130</v>
      </c>
    </row>
    <row r="293" spans="1:7" x14ac:dyDescent="0.25">
      <c r="A293" s="328" t="s">
        <v>1503</v>
      </c>
      <c r="B293" s="329" t="s">
        <v>2151</v>
      </c>
      <c r="C293" s="329" t="s">
        <v>2152</v>
      </c>
      <c r="D293" s="329" t="s">
        <v>1129</v>
      </c>
      <c r="E293" s="329" t="s">
        <v>2074</v>
      </c>
      <c r="F293" s="329" t="s">
        <v>2153</v>
      </c>
      <c r="G293" s="329" t="s">
        <v>1232</v>
      </c>
    </row>
    <row r="294" spans="1:7" x14ac:dyDescent="0.25">
      <c r="B294" s="327" t="s">
        <v>948</v>
      </c>
      <c r="C294" s="327" t="s">
        <v>910</v>
      </c>
      <c r="D294" s="327" t="s">
        <v>910</v>
      </c>
      <c r="E294" s="327" t="s">
        <v>911</v>
      </c>
      <c r="F294" s="327" t="s">
        <v>949</v>
      </c>
      <c r="G294" s="327" t="s">
        <v>912</v>
      </c>
    </row>
    <row r="295" spans="1:7" x14ac:dyDescent="0.25">
      <c r="A295" s="328" t="s">
        <v>1476</v>
      </c>
      <c r="B295" s="329" t="s">
        <v>1374</v>
      </c>
      <c r="C295" s="329" t="s">
        <v>1383</v>
      </c>
      <c r="D295" s="329" t="s">
        <v>2154</v>
      </c>
      <c r="E295" s="329" t="s">
        <v>2155</v>
      </c>
      <c r="F295" s="329">
        <v>0</v>
      </c>
      <c r="G295" s="329" t="s">
        <v>2156</v>
      </c>
    </row>
    <row r="296" spans="1:7" x14ac:dyDescent="0.25">
      <c r="A296" s="328" t="s">
        <v>1477</v>
      </c>
      <c r="B296" s="329" t="s">
        <v>2157</v>
      </c>
      <c r="C296" s="329" t="s">
        <v>2158</v>
      </c>
      <c r="D296" s="329" t="s">
        <v>2159</v>
      </c>
      <c r="E296" s="329" t="s">
        <v>2160</v>
      </c>
      <c r="F296" s="329">
        <v>0</v>
      </c>
      <c r="G296" s="329" t="s">
        <v>2161</v>
      </c>
    </row>
    <row r="297" spans="1:7" x14ac:dyDescent="0.25">
      <c r="A297" s="328" t="s">
        <v>1478</v>
      </c>
      <c r="B297" s="329" t="s">
        <v>2162</v>
      </c>
      <c r="C297" s="329" t="s">
        <v>2158</v>
      </c>
      <c r="D297" s="329" t="s">
        <v>2159</v>
      </c>
      <c r="E297" s="329" t="s">
        <v>2163</v>
      </c>
      <c r="F297" s="329">
        <v>0</v>
      </c>
      <c r="G297" s="329" t="s">
        <v>2161</v>
      </c>
    </row>
    <row r="298" spans="1:7" x14ac:dyDescent="0.25">
      <c r="A298" s="328" t="s">
        <v>1479</v>
      </c>
      <c r="B298" s="329" t="s">
        <v>2164</v>
      </c>
      <c r="C298" s="329" t="s">
        <v>2158</v>
      </c>
      <c r="D298" s="329" t="s">
        <v>2159</v>
      </c>
      <c r="E298" s="329" t="s">
        <v>2163</v>
      </c>
      <c r="F298" s="329">
        <v>0</v>
      </c>
      <c r="G298" s="329" t="s">
        <v>2161</v>
      </c>
    </row>
    <row r="299" spans="1:7" x14ac:dyDescent="0.25">
      <c r="A299" s="328" t="s">
        <v>1480</v>
      </c>
      <c r="B299" s="329" t="s">
        <v>2165</v>
      </c>
      <c r="C299" s="329" t="s">
        <v>2166</v>
      </c>
      <c r="D299" s="329" t="s">
        <v>2159</v>
      </c>
      <c r="E299" s="329" t="s">
        <v>2163</v>
      </c>
      <c r="F299" s="329">
        <v>0</v>
      </c>
      <c r="G299" s="329" t="s">
        <v>2161</v>
      </c>
    </row>
    <row r="300" spans="1:7" x14ac:dyDescent="0.25">
      <c r="A300" s="328" t="s">
        <v>1481</v>
      </c>
      <c r="B300" s="329" t="s">
        <v>2167</v>
      </c>
      <c r="C300" s="329" t="s">
        <v>2168</v>
      </c>
      <c r="D300" s="329" t="s">
        <v>2159</v>
      </c>
      <c r="E300" s="329" t="s">
        <v>2163</v>
      </c>
      <c r="F300" s="329">
        <v>0</v>
      </c>
      <c r="G300" s="329" t="s">
        <v>2161</v>
      </c>
    </row>
    <row r="301" spans="1:7" x14ac:dyDescent="0.25">
      <c r="A301" s="328" t="s">
        <v>1482</v>
      </c>
      <c r="B301" s="329" t="s">
        <v>2169</v>
      </c>
      <c r="C301" s="329" t="s">
        <v>1382</v>
      </c>
      <c r="D301" s="329" t="s">
        <v>2159</v>
      </c>
      <c r="E301" s="329" t="s">
        <v>2163</v>
      </c>
      <c r="F301" s="329">
        <v>0</v>
      </c>
      <c r="G301" s="329" t="s">
        <v>2161</v>
      </c>
    </row>
    <row r="302" spans="1:7" x14ac:dyDescent="0.25">
      <c r="A302" s="328" t="s">
        <v>1483</v>
      </c>
      <c r="B302" s="329" t="s">
        <v>2170</v>
      </c>
      <c r="C302" s="329" t="s">
        <v>1382</v>
      </c>
      <c r="D302" s="329" t="s">
        <v>2159</v>
      </c>
      <c r="E302" s="329" t="s">
        <v>2171</v>
      </c>
      <c r="F302" s="329">
        <v>0</v>
      </c>
      <c r="G302" s="329" t="s">
        <v>2161</v>
      </c>
    </row>
    <row r="303" spans="1:7" x14ac:dyDescent="0.25">
      <c r="A303" s="328" t="s">
        <v>1484</v>
      </c>
      <c r="B303" s="329" t="s">
        <v>2172</v>
      </c>
      <c r="C303" s="329" t="s">
        <v>1382</v>
      </c>
      <c r="D303" s="329" t="s">
        <v>2159</v>
      </c>
      <c r="E303" s="329" t="s">
        <v>2163</v>
      </c>
      <c r="F303" s="329">
        <v>0</v>
      </c>
      <c r="G303" s="329" t="s">
        <v>2161</v>
      </c>
    </row>
    <row r="304" spans="1:7" x14ac:dyDescent="0.25">
      <c r="A304" s="328" t="s">
        <v>1485</v>
      </c>
      <c r="B304" s="329" t="s">
        <v>1233</v>
      </c>
      <c r="C304" s="329" t="s">
        <v>1382</v>
      </c>
      <c r="D304" s="329" t="s">
        <v>2159</v>
      </c>
      <c r="E304" s="329" t="s">
        <v>2163</v>
      </c>
      <c r="F304" s="329">
        <v>0</v>
      </c>
      <c r="G304" s="329" t="s">
        <v>2173</v>
      </c>
    </row>
    <row r="305" spans="1:7" x14ac:dyDescent="0.25">
      <c r="A305" s="328" t="s">
        <v>1486</v>
      </c>
      <c r="B305" s="329" t="s">
        <v>2174</v>
      </c>
      <c r="C305" s="329" t="s">
        <v>2175</v>
      </c>
      <c r="D305" s="329" t="s">
        <v>2159</v>
      </c>
      <c r="E305" s="329" t="s">
        <v>2176</v>
      </c>
      <c r="F305" s="329">
        <v>0</v>
      </c>
      <c r="G305" s="329" t="s">
        <v>2177</v>
      </c>
    </row>
    <row r="306" spans="1:7" x14ac:dyDescent="0.25">
      <c r="A306" s="328" t="s">
        <v>1488</v>
      </c>
      <c r="B306" s="329" t="s">
        <v>2174</v>
      </c>
      <c r="C306" s="329" t="s">
        <v>2178</v>
      </c>
      <c r="D306" s="329" t="s">
        <v>2159</v>
      </c>
      <c r="E306" s="329" t="s">
        <v>2179</v>
      </c>
      <c r="F306" s="329">
        <v>0</v>
      </c>
      <c r="G306" s="329" t="s">
        <v>2177</v>
      </c>
    </row>
    <row r="307" spans="1:7" x14ac:dyDescent="0.25">
      <c r="A307" s="328" t="s">
        <v>1489</v>
      </c>
      <c r="B307" s="329" t="s">
        <v>1374</v>
      </c>
      <c r="C307" s="329" t="s">
        <v>2180</v>
      </c>
      <c r="D307" s="329" t="s">
        <v>2159</v>
      </c>
      <c r="E307" s="329" t="s">
        <v>2179</v>
      </c>
      <c r="F307" s="329">
        <v>0</v>
      </c>
      <c r="G307" s="329" t="s">
        <v>2177</v>
      </c>
    </row>
    <row r="308" spans="1:7" x14ac:dyDescent="0.25">
      <c r="A308" s="328" t="s">
        <v>1491</v>
      </c>
      <c r="B308" s="329" t="s">
        <v>2181</v>
      </c>
      <c r="C308" s="329" t="s">
        <v>2168</v>
      </c>
      <c r="D308" s="329" t="s">
        <v>2182</v>
      </c>
      <c r="E308" s="329" t="s">
        <v>2183</v>
      </c>
      <c r="F308" s="329">
        <v>0</v>
      </c>
      <c r="G308" s="329" t="s">
        <v>2184</v>
      </c>
    </row>
    <row r="309" spans="1:7" x14ac:dyDescent="0.25">
      <c r="A309" s="328" t="s">
        <v>1492</v>
      </c>
      <c r="B309" s="329" t="s">
        <v>2185</v>
      </c>
      <c r="C309" s="329" t="s">
        <v>2168</v>
      </c>
      <c r="D309" s="329" t="s">
        <v>2186</v>
      </c>
      <c r="E309" s="329" t="s">
        <v>2183</v>
      </c>
      <c r="F309" s="329">
        <v>0</v>
      </c>
      <c r="G309" s="329" t="s">
        <v>2184</v>
      </c>
    </row>
    <row r="310" spans="1:7" x14ac:dyDescent="0.25">
      <c r="A310" s="328" t="s">
        <v>1493</v>
      </c>
      <c r="B310" s="329" t="s">
        <v>2187</v>
      </c>
      <c r="C310" s="329" t="s">
        <v>2168</v>
      </c>
      <c r="D310" s="329" t="s">
        <v>2188</v>
      </c>
      <c r="E310" s="329" t="s">
        <v>2183</v>
      </c>
      <c r="F310" s="329">
        <v>0</v>
      </c>
      <c r="G310" s="329" t="s">
        <v>2184</v>
      </c>
    </row>
    <row r="311" spans="1:7" x14ac:dyDescent="0.25">
      <c r="A311" s="328" t="s">
        <v>1495</v>
      </c>
      <c r="B311" s="329" t="s">
        <v>1237</v>
      </c>
      <c r="C311" s="329" t="s">
        <v>2168</v>
      </c>
      <c r="D311" s="329" t="s">
        <v>2189</v>
      </c>
      <c r="E311" s="329" t="s">
        <v>2183</v>
      </c>
      <c r="F311" s="329">
        <v>0</v>
      </c>
      <c r="G311" s="329" t="s">
        <v>2184</v>
      </c>
    </row>
    <row r="312" spans="1:7" x14ac:dyDescent="0.25">
      <c r="A312" s="328" t="s">
        <v>1496</v>
      </c>
      <c r="B312" s="329" t="s">
        <v>1238</v>
      </c>
      <c r="C312" s="329" t="s">
        <v>2168</v>
      </c>
      <c r="D312" s="329" t="s">
        <v>2189</v>
      </c>
      <c r="E312" s="329" t="s">
        <v>2183</v>
      </c>
      <c r="F312" s="329">
        <v>0</v>
      </c>
      <c r="G312" s="329" t="s">
        <v>2184</v>
      </c>
    </row>
    <row r="313" spans="1:7" x14ac:dyDescent="0.25">
      <c r="A313" s="328" t="s">
        <v>1497</v>
      </c>
      <c r="B313" s="329" t="s">
        <v>2190</v>
      </c>
      <c r="C313" s="329" t="s">
        <v>2168</v>
      </c>
      <c r="D313" s="329" t="s">
        <v>2189</v>
      </c>
      <c r="E313" s="329" t="s">
        <v>2191</v>
      </c>
      <c r="F313" s="329">
        <v>0</v>
      </c>
      <c r="G313" s="329" t="s">
        <v>2184</v>
      </c>
    </row>
    <row r="314" spans="1:7" x14ac:dyDescent="0.25">
      <c r="A314" s="328" t="s">
        <v>1498</v>
      </c>
      <c r="B314" s="329" t="s">
        <v>2192</v>
      </c>
      <c r="C314" s="329" t="s">
        <v>2168</v>
      </c>
      <c r="D314" s="329" t="s">
        <v>2193</v>
      </c>
      <c r="E314" s="329" t="s">
        <v>2194</v>
      </c>
      <c r="F314" s="329">
        <v>0</v>
      </c>
      <c r="G314" s="329" t="s">
        <v>2184</v>
      </c>
    </row>
    <row r="315" spans="1:7" x14ac:dyDescent="0.25">
      <c r="A315" s="328" t="s">
        <v>1499</v>
      </c>
      <c r="B315" s="329" t="s">
        <v>2195</v>
      </c>
      <c r="C315" s="329" t="s">
        <v>2168</v>
      </c>
      <c r="D315" s="329" t="s">
        <v>2196</v>
      </c>
      <c r="E315" s="329" t="s">
        <v>2194</v>
      </c>
      <c r="F315" s="329">
        <v>0</v>
      </c>
      <c r="G315" s="329" t="s">
        <v>2184</v>
      </c>
    </row>
    <row r="316" spans="1:7" x14ac:dyDescent="0.25">
      <c r="A316" s="328" t="s">
        <v>1500</v>
      </c>
      <c r="B316" s="329" t="s">
        <v>2181</v>
      </c>
      <c r="C316" s="329" t="s">
        <v>2197</v>
      </c>
      <c r="D316" s="329" t="s">
        <v>2198</v>
      </c>
      <c r="E316" s="329" t="s">
        <v>2194</v>
      </c>
      <c r="F316" s="329">
        <v>0</v>
      </c>
      <c r="G316" s="329" t="s">
        <v>2184</v>
      </c>
    </row>
    <row r="317" spans="1:7" x14ac:dyDescent="0.25">
      <c r="A317" s="328" t="s">
        <v>1501</v>
      </c>
      <c r="B317" s="329" t="s">
        <v>2167</v>
      </c>
      <c r="C317" s="329" t="s">
        <v>1241</v>
      </c>
      <c r="D317" s="329" t="s">
        <v>2199</v>
      </c>
      <c r="E317" s="329" t="s">
        <v>2200</v>
      </c>
      <c r="F317" s="329">
        <v>0</v>
      </c>
      <c r="G317" s="329" t="s">
        <v>2184</v>
      </c>
    </row>
    <row r="318" spans="1:7" x14ac:dyDescent="0.25">
      <c r="A318" s="328" t="s">
        <v>1502</v>
      </c>
      <c r="B318" s="329" t="s">
        <v>1238</v>
      </c>
      <c r="C318" s="329" t="s">
        <v>2201</v>
      </c>
      <c r="D318" s="329" t="s">
        <v>2202</v>
      </c>
      <c r="E318" s="329" t="s">
        <v>2203</v>
      </c>
      <c r="F318" s="329">
        <v>0</v>
      </c>
      <c r="G318" s="329" t="s">
        <v>2184</v>
      </c>
    </row>
    <row r="319" spans="1:7" x14ac:dyDescent="0.25">
      <c r="A319" s="328" t="s">
        <v>1503</v>
      </c>
      <c r="B319" s="329" t="s">
        <v>1231</v>
      </c>
      <c r="C319" s="329" t="s">
        <v>2204</v>
      </c>
      <c r="D319" s="329" t="s">
        <v>2205</v>
      </c>
      <c r="E319" s="329" t="s">
        <v>2206</v>
      </c>
      <c r="F319" s="329">
        <v>0</v>
      </c>
      <c r="G319" s="329" t="s">
        <v>2184</v>
      </c>
    </row>
    <row r="320" spans="1:7" x14ac:dyDescent="0.25">
      <c r="B320" s="327" t="s">
        <v>949</v>
      </c>
      <c r="C320" s="327" t="s">
        <v>913</v>
      </c>
      <c r="D320" s="327" t="s">
        <v>979</v>
      </c>
      <c r="E320" s="327" t="s">
        <v>1003</v>
      </c>
      <c r="F320" s="327" t="s">
        <v>980</v>
      </c>
      <c r="G320" s="327" t="s">
        <v>1004</v>
      </c>
    </row>
    <row r="321" spans="1:7" x14ac:dyDescent="0.25">
      <c r="A321" s="328" t="s">
        <v>1476</v>
      </c>
      <c r="B321" s="329" t="s">
        <v>2207</v>
      </c>
      <c r="C321" s="329">
        <v>0</v>
      </c>
      <c r="D321" s="329" t="s">
        <v>1205</v>
      </c>
      <c r="E321" s="329" t="s">
        <v>2208</v>
      </c>
      <c r="F321" s="329" t="s">
        <v>2209</v>
      </c>
      <c r="G321" s="329" t="s">
        <v>2210</v>
      </c>
    </row>
    <row r="322" spans="1:7" x14ac:dyDescent="0.25">
      <c r="A322" s="328" t="s">
        <v>1477</v>
      </c>
      <c r="B322" s="329" t="s">
        <v>2211</v>
      </c>
      <c r="C322" s="329">
        <v>0</v>
      </c>
      <c r="D322" s="329" t="s">
        <v>2212</v>
      </c>
      <c r="E322" s="329" t="s">
        <v>2213</v>
      </c>
      <c r="F322" s="329" t="s">
        <v>2214</v>
      </c>
      <c r="G322" s="329" t="s">
        <v>2215</v>
      </c>
    </row>
    <row r="323" spans="1:7" x14ac:dyDescent="0.25">
      <c r="A323" s="328" t="s">
        <v>1478</v>
      </c>
      <c r="B323" s="329" t="s">
        <v>2211</v>
      </c>
      <c r="C323" s="329">
        <v>0</v>
      </c>
      <c r="D323" s="329" t="s">
        <v>2212</v>
      </c>
      <c r="E323" s="329" t="s">
        <v>2213</v>
      </c>
      <c r="F323" s="329" t="s">
        <v>2214</v>
      </c>
      <c r="G323" s="329" t="s">
        <v>2215</v>
      </c>
    </row>
    <row r="324" spans="1:7" x14ac:dyDescent="0.25">
      <c r="A324" s="328" t="s">
        <v>1479</v>
      </c>
      <c r="B324" s="329" t="s">
        <v>2211</v>
      </c>
      <c r="C324" s="329">
        <v>0</v>
      </c>
      <c r="D324" s="329" t="s">
        <v>2212</v>
      </c>
      <c r="E324" s="329" t="s">
        <v>2213</v>
      </c>
      <c r="F324" s="329" t="s">
        <v>2214</v>
      </c>
      <c r="G324" s="329" t="s">
        <v>2215</v>
      </c>
    </row>
    <row r="325" spans="1:7" x14ac:dyDescent="0.25">
      <c r="A325" s="328" t="s">
        <v>1480</v>
      </c>
      <c r="B325" s="329" t="s">
        <v>2211</v>
      </c>
      <c r="C325" s="329">
        <v>0</v>
      </c>
      <c r="D325" s="329" t="s">
        <v>2212</v>
      </c>
      <c r="E325" s="329" t="s">
        <v>2213</v>
      </c>
      <c r="F325" s="329" t="s">
        <v>2214</v>
      </c>
      <c r="G325" s="329" t="s">
        <v>2215</v>
      </c>
    </row>
    <row r="326" spans="1:7" x14ac:dyDescent="0.25">
      <c r="A326" s="328" t="s">
        <v>1481</v>
      </c>
      <c r="B326" s="329" t="s">
        <v>2211</v>
      </c>
      <c r="C326" s="329">
        <v>0</v>
      </c>
      <c r="D326" s="329" t="s">
        <v>2212</v>
      </c>
      <c r="E326" s="329" t="s">
        <v>2213</v>
      </c>
      <c r="F326" s="329" t="s">
        <v>2214</v>
      </c>
      <c r="G326" s="329" t="s">
        <v>2215</v>
      </c>
    </row>
    <row r="327" spans="1:7" x14ac:dyDescent="0.25">
      <c r="A327" s="328" t="s">
        <v>1482</v>
      </c>
      <c r="B327" s="329" t="s">
        <v>2211</v>
      </c>
      <c r="C327" s="329">
        <v>0</v>
      </c>
      <c r="D327" s="329" t="s">
        <v>2212</v>
      </c>
      <c r="E327" s="329" t="s">
        <v>2213</v>
      </c>
      <c r="F327" s="329" t="s">
        <v>2216</v>
      </c>
      <c r="G327" s="329" t="s">
        <v>2215</v>
      </c>
    </row>
    <row r="328" spans="1:7" x14ac:dyDescent="0.25">
      <c r="A328" s="328" t="s">
        <v>1483</v>
      </c>
      <c r="B328" s="329" t="s">
        <v>2211</v>
      </c>
      <c r="C328" s="329">
        <v>0</v>
      </c>
      <c r="D328" s="329" t="s">
        <v>2212</v>
      </c>
      <c r="E328" s="329" t="s">
        <v>2213</v>
      </c>
      <c r="F328" s="329" t="s">
        <v>2217</v>
      </c>
      <c r="G328" s="329" t="s">
        <v>2215</v>
      </c>
    </row>
    <row r="329" spans="1:7" x14ac:dyDescent="0.25">
      <c r="A329" s="328" t="s">
        <v>1484</v>
      </c>
      <c r="B329" s="329" t="s">
        <v>2211</v>
      </c>
      <c r="C329" s="329">
        <v>0</v>
      </c>
      <c r="D329" s="329" t="s">
        <v>2212</v>
      </c>
      <c r="E329" s="329" t="s">
        <v>2213</v>
      </c>
      <c r="F329" s="329" t="s">
        <v>2217</v>
      </c>
      <c r="G329" s="329" t="s">
        <v>2218</v>
      </c>
    </row>
    <row r="330" spans="1:7" x14ac:dyDescent="0.25">
      <c r="A330" s="328" t="s">
        <v>1485</v>
      </c>
      <c r="B330" s="329" t="s">
        <v>2211</v>
      </c>
      <c r="C330" s="329">
        <v>0</v>
      </c>
      <c r="D330" s="329" t="s">
        <v>2212</v>
      </c>
      <c r="E330" s="329" t="s">
        <v>2213</v>
      </c>
      <c r="F330" s="329" t="s">
        <v>2217</v>
      </c>
      <c r="G330" s="329" t="s">
        <v>2219</v>
      </c>
    </row>
    <row r="331" spans="1:7" x14ac:dyDescent="0.25">
      <c r="A331" s="328" t="s">
        <v>1486</v>
      </c>
      <c r="B331" s="329" t="s">
        <v>2220</v>
      </c>
      <c r="C331" s="329">
        <v>0</v>
      </c>
      <c r="D331" s="329" t="s">
        <v>2212</v>
      </c>
      <c r="E331" s="329" t="s">
        <v>2213</v>
      </c>
      <c r="F331" s="329" t="s">
        <v>2217</v>
      </c>
      <c r="G331" s="329" t="s">
        <v>2219</v>
      </c>
    </row>
    <row r="332" spans="1:7" x14ac:dyDescent="0.25">
      <c r="A332" s="328" t="s">
        <v>1488</v>
      </c>
      <c r="B332" s="329" t="s">
        <v>2221</v>
      </c>
      <c r="C332" s="329">
        <v>0</v>
      </c>
      <c r="D332" s="329" t="s">
        <v>2212</v>
      </c>
      <c r="E332" s="329" t="s">
        <v>2213</v>
      </c>
      <c r="F332" s="329" t="s">
        <v>2217</v>
      </c>
      <c r="G332" s="329" t="s">
        <v>2219</v>
      </c>
    </row>
    <row r="333" spans="1:7" x14ac:dyDescent="0.25">
      <c r="A333" s="328" t="s">
        <v>1489</v>
      </c>
      <c r="B333" s="329" t="s">
        <v>2221</v>
      </c>
      <c r="C333" s="329">
        <v>0</v>
      </c>
      <c r="D333" s="329" t="s">
        <v>2212</v>
      </c>
      <c r="E333" s="329" t="s">
        <v>2213</v>
      </c>
      <c r="F333" s="329" t="s">
        <v>2217</v>
      </c>
      <c r="G333" s="329" t="s">
        <v>2219</v>
      </c>
    </row>
    <row r="334" spans="1:7" x14ac:dyDescent="0.25">
      <c r="A334" s="328" t="s">
        <v>1491</v>
      </c>
      <c r="B334" s="329" t="s">
        <v>2221</v>
      </c>
      <c r="C334" s="329">
        <v>0</v>
      </c>
      <c r="D334" s="329" t="s">
        <v>2222</v>
      </c>
      <c r="E334" s="329" t="s">
        <v>1175</v>
      </c>
      <c r="F334" s="329" t="s">
        <v>2223</v>
      </c>
      <c r="G334" s="329" t="s">
        <v>2224</v>
      </c>
    </row>
    <row r="335" spans="1:7" x14ac:dyDescent="0.25">
      <c r="A335" s="328" t="s">
        <v>1492</v>
      </c>
      <c r="B335" s="329" t="s">
        <v>2221</v>
      </c>
      <c r="C335" s="329">
        <v>0</v>
      </c>
      <c r="D335" s="329" t="s">
        <v>2222</v>
      </c>
      <c r="E335" s="329" t="s">
        <v>1175</v>
      </c>
      <c r="F335" s="329" t="s">
        <v>2223</v>
      </c>
      <c r="G335" s="329" t="s">
        <v>2224</v>
      </c>
    </row>
    <row r="336" spans="1:7" x14ac:dyDescent="0.25">
      <c r="A336" s="328" t="s">
        <v>1493</v>
      </c>
      <c r="B336" s="329" t="s">
        <v>2221</v>
      </c>
      <c r="C336" s="329">
        <v>0</v>
      </c>
      <c r="D336" s="329" t="s">
        <v>2222</v>
      </c>
      <c r="E336" s="329" t="s">
        <v>1175</v>
      </c>
      <c r="F336" s="329" t="s">
        <v>2223</v>
      </c>
      <c r="G336" s="329" t="s">
        <v>2224</v>
      </c>
    </row>
    <row r="337" spans="1:7" x14ac:dyDescent="0.25">
      <c r="A337" s="328" t="s">
        <v>1495</v>
      </c>
      <c r="B337" s="329" t="s">
        <v>2221</v>
      </c>
      <c r="C337" s="329">
        <v>0</v>
      </c>
      <c r="D337" s="329" t="s">
        <v>2222</v>
      </c>
      <c r="E337" s="329" t="s">
        <v>1175</v>
      </c>
      <c r="F337" s="329" t="s">
        <v>2223</v>
      </c>
      <c r="G337" s="329" t="s">
        <v>2224</v>
      </c>
    </row>
    <row r="338" spans="1:7" x14ac:dyDescent="0.25">
      <c r="A338" s="328" t="s">
        <v>1496</v>
      </c>
      <c r="B338" s="329" t="s">
        <v>2221</v>
      </c>
      <c r="C338" s="329">
        <v>0</v>
      </c>
      <c r="D338" s="329" t="s">
        <v>2222</v>
      </c>
      <c r="E338" s="329" t="s">
        <v>1175</v>
      </c>
      <c r="F338" s="329" t="s">
        <v>2223</v>
      </c>
      <c r="G338" s="329" t="s">
        <v>2224</v>
      </c>
    </row>
    <row r="339" spans="1:7" x14ac:dyDescent="0.25">
      <c r="A339" s="328" t="s">
        <v>1497</v>
      </c>
      <c r="B339" s="329" t="s">
        <v>2221</v>
      </c>
      <c r="C339" s="329">
        <v>0</v>
      </c>
      <c r="D339" s="329" t="s">
        <v>2222</v>
      </c>
      <c r="E339" s="329" t="s">
        <v>1175</v>
      </c>
      <c r="F339" s="329" t="s">
        <v>2223</v>
      </c>
      <c r="G339" s="329" t="s">
        <v>2224</v>
      </c>
    </row>
    <row r="340" spans="1:7" x14ac:dyDescent="0.25">
      <c r="A340" s="328" t="s">
        <v>1498</v>
      </c>
      <c r="B340" s="329" t="s">
        <v>2221</v>
      </c>
      <c r="C340" s="329">
        <v>0</v>
      </c>
      <c r="D340" s="329" t="s">
        <v>2222</v>
      </c>
      <c r="E340" s="329" t="s">
        <v>1175</v>
      </c>
      <c r="F340" s="329" t="s">
        <v>2223</v>
      </c>
      <c r="G340" s="329" t="s">
        <v>2224</v>
      </c>
    </row>
    <row r="341" spans="1:7" x14ac:dyDescent="0.25">
      <c r="A341" s="328" t="s">
        <v>1499</v>
      </c>
      <c r="B341" s="329" t="s">
        <v>2221</v>
      </c>
      <c r="C341" s="329">
        <v>0</v>
      </c>
      <c r="D341" s="329" t="s">
        <v>2222</v>
      </c>
      <c r="E341" s="329" t="s">
        <v>1175</v>
      </c>
      <c r="F341" s="329" t="s">
        <v>2223</v>
      </c>
      <c r="G341" s="329" t="s">
        <v>2224</v>
      </c>
    </row>
    <row r="342" spans="1:7" x14ac:dyDescent="0.25">
      <c r="A342" s="328" t="s">
        <v>1500</v>
      </c>
      <c r="B342" s="329" t="s">
        <v>2221</v>
      </c>
      <c r="C342" s="329">
        <v>0</v>
      </c>
      <c r="D342" s="329" t="s">
        <v>2222</v>
      </c>
      <c r="E342" s="329" t="s">
        <v>1175</v>
      </c>
      <c r="F342" s="329" t="s">
        <v>2223</v>
      </c>
      <c r="G342" s="329" t="s">
        <v>2224</v>
      </c>
    </row>
    <row r="343" spans="1:7" x14ac:dyDescent="0.25">
      <c r="A343" s="328" t="s">
        <v>1501</v>
      </c>
      <c r="B343" s="329" t="s">
        <v>2221</v>
      </c>
      <c r="C343" s="329">
        <v>0</v>
      </c>
      <c r="D343" s="329" t="s">
        <v>2222</v>
      </c>
      <c r="E343" s="329" t="s">
        <v>2225</v>
      </c>
      <c r="F343" s="329" t="s">
        <v>2223</v>
      </c>
      <c r="G343" s="329" t="s">
        <v>2224</v>
      </c>
    </row>
    <row r="344" spans="1:7" x14ac:dyDescent="0.25">
      <c r="A344" s="328" t="s">
        <v>1502</v>
      </c>
      <c r="B344" s="329" t="s">
        <v>2221</v>
      </c>
      <c r="C344" s="329">
        <v>0</v>
      </c>
      <c r="D344" s="329" t="s">
        <v>2222</v>
      </c>
      <c r="E344" s="329" t="s">
        <v>1162</v>
      </c>
      <c r="F344" s="329" t="s">
        <v>2223</v>
      </c>
      <c r="G344" s="329" t="s">
        <v>2224</v>
      </c>
    </row>
    <row r="345" spans="1:7" x14ac:dyDescent="0.25">
      <c r="A345" s="328" t="s">
        <v>1503</v>
      </c>
      <c r="B345" s="329" t="s">
        <v>2221</v>
      </c>
      <c r="C345" s="329">
        <v>0</v>
      </c>
      <c r="D345" s="329" t="s">
        <v>2222</v>
      </c>
      <c r="E345" s="329" t="s">
        <v>1162</v>
      </c>
      <c r="F345" s="329" t="s">
        <v>2223</v>
      </c>
      <c r="G345" s="329" t="s">
        <v>2224</v>
      </c>
    </row>
    <row r="346" spans="1:7" x14ac:dyDescent="0.25">
      <c r="B346" s="327" t="s">
        <v>981</v>
      </c>
      <c r="C346" s="327" t="s">
        <v>1005</v>
      </c>
      <c r="D346" s="327" t="s">
        <v>982</v>
      </c>
      <c r="E346" s="327" t="s">
        <v>1006</v>
      </c>
      <c r="F346" s="327" t="s">
        <v>914</v>
      </c>
      <c r="G346" s="327" t="s">
        <v>1007</v>
      </c>
    </row>
    <row r="347" spans="1:7" x14ac:dyDescent="0.25">
      <c r="A347" s="328" t="s">
        <v>1476</v>
      </c>
      <c r="B347" s="329" t="s">
        <v>2226</v>
      </c>
      <c r="C347" s="329" t="s">
        <v>2227</v>
      </c>
      <c r="D347" s="329" t="s">
        <v>2228</v>
      </c>
      <c r="E347" s="329" t="s">
        <v>2229</v>
      </c>
      <c r="F347" s="329" t="s">
        <v>2230</v>
      </c>
      <c r="G347" s="329" t="s">
        <v>1277</v>
      </c>
    </row>
    <row r="348" spans="1:7" x14ac:dyDescent="0.25">
      <c r="A348" s="328" t="s">
        <v>1477</v>
      </c>
      <c r="B348" s="329" t="s">
        <v>2231</v>
      </c>
      <c r="C348" s="329" t="s">
        <v>2232</v>
      </c>
      <c r="D348" s="329" t="s">
        <v>2233</v>
      </c>
      <c r="E348" s="329" t="s">
        <v>2234</v>
      </c>
      <c r="F348" s="329" t="s">
        <v>2235</v>
      </c>
      <c r="G348" s="329" t="s">
        <v>2236</v>
      </c>
    </row>
    <row r="349" spans="1:7" x14ac:dyDescent="0.25">
      <c r="A349" s="328" t="s">
        <v>1478</v>
      </c>
      <c r="B349" s="329" t="s">
        <v>2237</v>
      </c>
      <c r="C349" s="329" t="s">
        <v>2238</v>
      </c>
      <c r="D349" s="329" t="s">
        <v>2239</v>
      </c>
      <c r="E349" s="329" t="s">
        <v>2240</v>
      </c>
      <c r="F349" s="329" t="s">
        <v>2241</v>
      </c>
      <c r="G349" s="329" t="s">
        <v>2236</v>
      </c>
    </row>
    <row r="350" spans="1:7" x14ac:dyDescent="0.25">
      <c r="A350" s="328" t="s">
        <v>1479</v>
      </c>
      <c r="B350" s="329" t="s">
        <v>2242</v>
      </c>
      <c r="C350" s="329" t="s">
        <v>2243</v>
      </c>
      <c r="D350" s="329" t="s">
        <v>2244</v>
      </c>
      <c r="E350" s="329" t="s">
        <v>2245</v>
      </c>
      <c r="F350" s="329" t="s">
        <v>2241</v>
      </c>
      <c r="G350" s="329" t="s">
        <v>2236</v>
      </c>
    </row>
    <row r="351" spans="1:7" x14ac:dyDescent="0.25">
      <c r="A351" s="328" t="s">
        <v>1480</v>
      </c>
      <c r="B351" s="329" t="s">
        <v>2246</v>
      </c>
      <c r="C351" s="329" t="s">
        <v>2247</v>
      </c>
      <c r="D351" s="329" t="s">
        <v>2248</v>
      </c>
      <c r="E351" s="329" t="s">
        <v>2249</v>
      </c>
      <c r="F351" s="329" t="s">
        <v>2241</v>
      </c>
      <c r="G351" s="329" t="s">
        <v>2236</v>
      </c>
    </row>
    <row r="352" spans="1:7" x14ac:dyDescent="0.25">
      <c r="A352" s="328" t="s">
        <v>1481</v>
      </c>
      <c r="B352" s="329" t="s">
        <v>2250</v>
      </c>
      <c r="C352" s="329" t="s">
        <v>2251</v>
      </c>
      <c r="D352" s="329" t="s">
        <v>2252</v>
      </c>
      <c r="E352" s="329" t="s">
        <v>2253</v>
      </c>
      <c r="F352" s="329" t="s">
        <v>2241</v>
      </c>
      <c r="G352" s="329" t="s">
        <v>2236</v>
      </c>
    </row>
    <row r="353" spans="1:7" x14ac:dyDescent="0.25">
      <c r="A353" s="328" t="s">
        <v>1482</v>
      </c>
      <c r="B353" s="329" t="s">
        <v>2254</v>
      </c>
      <c r="C353" s="329" t="s">
        <v>2255</v>
      </c>
      <c r="D353" s="329" t="s">
        <v>2256</v>
      </c>
      <c r="E353" s="329" t="s">
        <v>2257</v>
      </c>
      <c r="F353" s="329" t="s">
        <v>2241</v>
      </c>
      <c r="G353" s="329" t="s">
        <v>2236</v>
      </c>
    </row>
    <row r="354" spans="1:7" x14ac:dyDescent="0.25">
      <c r="A354" s="328" t="s">
        <v>1483</v>
      </c>
      <c r="B354" s="329" t="s">
        <v>2258</v>
      </c>
      <c r="C354" s="329" t="s">
        <v>2259</v>
      </c>
      <c r="D354" s="329" t="s">
        <v>2260</v>
      </c>
      <c r="E354" s="329" t="s">
        <v>1166</v>
      </c>
      <c r="F354" s="329" t="s">
        <v>2261</v>
      </c>
      <c r="G354" s="329" t="s">
        <v>2236</v>
      </c>
    </row>
    <row r="355" spans="1:7" x14ac:dyDescent="0.25">
      <c r="A355" s="328" t="s">
        <v>1484</v>
      </c>
      <c r="B355" s="329" t="s">
        <v>2262</v>
      </c>
      <c r="C355" s="329" t="s">
        <v>2263</v>
      </c>
      <c r="D355" s="329" t="s">
        <v>1440</v>
      </c>
      <c r="E355" s="329" t="s">
        <v>2264</v>
      </c>
      <c r="F355" s="329" t="s">
        <v>1297</v>
      </c>
      <c r="G355" s="329" t="s">
        <v>2236</v>
      </c>
    </row>
    <row r="356" spans="1:7" x14ac:dyDescent="0.25">
      <c r="A356" s="328" t="s">
        <v>1485</v>
      </c>
      <c r="B356" s="329" t="s">
        <v>2265</v>
      </c>
      <c r="C356" s="329" t="s">
        <v>1401</v>
      </c>
      <c r="D356" s="329" t="s">
        <v>2266</v>
      </c>
      <c r="E356" s="329" t="s">
        <v>2267</v>
      </c>
      <c r="F356" s="329" t="s">
        <v>1297</v>
      </c>
      <c r="G356" s="329" t="s">
        <v>2236</v>
      </c>
    </row>
    <row r="357" spans="1:7" x14ac:dyDescent="0.25">
      <c r="A357" s="328" t="s">
        <v>1486</v>
      </c>
      <c r="B357" s="329" t="s">
        <v>2268</v>
      </c>
      <c r="C357" s="329" t="s">
        <v>2269</v>
      </c>
      <c r="D357" s="329" t="s">
        <v>2270</v>
      </c>
      <c r="E357" s="329" t="s">
        <v>2253</v>
      </c>
      <c r="F357" s="329" t="s">
        <v>1297</v>
      </c>
      <c r="G357" s="329" t="s">
        <v>2236</v>
      </c>
    </row>
    <row r="358" spans="1:7" x14ac:dyDescent="0.25">
      <c r="A358" s="328" t="s">
        <v>1488</v>
      </c>
      <c r="B358" s="329" t="s">
        <v>2271</v>
      </c>
      <c r="C358" s="329" t="s">
        <v>2272</v>
      </c>
      <c r="D358" s="329" t="s">
        <v>1439</v>
      </c>
      <c r="E358" s="329" t="s">
        <v>2273</v>
      </c>
      <c r="F358" s="329" t="s">
        <v>1297</v>
      </c>
      <c r="G358" s="329" t="s">
        <v>2236</v>
      </c>
    </row>
    <row r="359" spans="1:7" x14ac:dyDescent="0.25">
      <c r="A359" s="328" t="s">
        <v>1489</v>
      </c>
      <c r="B359" s="329" t="s">
        <v>2274</v>
      </c>
      <c r="C359" s="329" t="s">
        <v>2275</v>
      </c>
      <c r="D359" s="329" t="s">
        <v>2266</v>
      </c>
      <c r="E359" s="329" t="s">
        <v>2276</v>
      </c>
      <c r="F359" s="329" t="s">
        <v>1297</v>
      </c>
      <c r="G359" s="329" t="s">
        <v>2236</v>
      </c>
    </row>
    <row r="360" spans="1:7" x14ac:dyDescent="0.25">
      <c r="A360" s="328" t="s">
        <v>1491</v>
      </c>
      <c r="B360" s="329" t="s">
        <v>2277</v>
      </c>
      <c r="C360" s="329" t="s">
        <v>2278</v>
      </c>
      <c r="D360" s="329" t="s">
        <v>1442</v>
      </c>
      <c r="E360" s="329" t="s">
        <v>2273</v>
      </c>
      <c r="F360" s="329" t="s">
        <v>1159</v>
      </c>
      <c r="G360" s="329" t="s">
        <v>1451</v>
      </c>
    </row>
    <row r="361" spans="1:7" x14ac:dyDescent="0.25">
      <c r="A361" s="328" t="s">
        <v>1492</v>
      </c>
      <c r="B361" s="329" t="s">
        <v>2279</v>
      </c>
      <c r="C361" s="329" t="s">
        <v>2231</v>
      </c>
      <c r="D361" s="329" t="s">
        <v>2280</v>
      </c>
      <c r="E361" s="329" t="s">
        <v>1160</v>
      </c>
      <c r="F361" s="329" t="s">
        <v>1159</v>
      </c>
      <c r="G361" s="329" t="s">
        <v>1451</v>
      </c>
    </row>
    <row r="362" spans="1:7" x14ac:dyDescent="0.25">
      <c r="A362" s="328" t="s">
        <v>1493</v>
      </c>
      <c r="B362" s="329" t="s">
        <v>1390</v>
      </c>
      <c r="C362" s="329" t="s">
        <v>1132</v>
      </c>
      <c r="D362" s="329" t="s">
        <v>2281</v>
      </c>
      <c r="E362" s="329" t="s">
        <v>2282</v>
      </c>
      <c r="F362" s="329" t="s">
        <v>1159</v>
      </c>
      <c r="G362" s="329" t="s">
        <v>1451</v>
      </c>
    </row>
    <row r="363" spans="1:7" x14ac:dyDescent="0.25">
      <c r="A363" s="328" t="s">
        <v>1495</v>
      </c>
      <c r="B363" s="329" t="s">
        <v>2283</v>
      </c>
      <c r="C363" s="329" t="s">
        <v>2284</v>
      </c>
      <c r="D363" s="329" t="s">
        <v>2285</v>
      </c>
      <c r="E363" s="329" t="s">
        <v>2286</v>
      </c>
      <c r="F363" s="329" t="s">
        <v>1159</v>
      </c>
      <c r="G363" s="329" t="s">
        <v>1451</v>
      </c>
    </row>
    <row r="364" spans="1:7" x14ac:dyDescent="0.25">
      <c r="A364" s="328" t="s">
        <v>1496</v>
      </c>
      <c r="B364" s="329" t="s">
        <v>2287</v>
      </c>
      <c r="C364" s="329" t="s">
        <v>2288</v>
      </c>
      <c r="D364" s="329" t="s">
        <v>1268</v>
      </c>
      <c r="E364" s="329" t="s">
        <v>2282</v>
      </c>
      <c r="F364" s="329" t="s">
        <v>2289</v>
      </c>
      <c r="G364" s="329" t="s">
        <v>1451</v>
      </c>
    </row>
    <row r="365" spans="1:7" x14ac:dyDescent="0.25">
      <c r="A365" s="328" t="s">
        <v>1497</v>
      </c>
      <c r="B365" s="329" t="s">
        <v>2290</v>
      </c>
      <c r="C365" s="329" t="s">
        <v>2291</v>
      </c>
      <c r="D365" s="329" t="s">
        <v>2292</v>
      </c>
      <c r="E365" s="329" t="s">
        <v>2293</v>
      </c>
      <c r="F365" s="329" t="s">
        <v>1303</v>
      </c>
      <c r="G365" s="329" t="s">
        <v>1451</v>
      </c>
    </row>
    <row r="366" spans="1:7" x14ac:dyDescent="0.25">
      <c r="A366" s="328" t="s">
        <v>1498</v>
      </c>
      <c r="B366" s="329" t="s">
        <v>2294</v>
      </c>
      <c r="C366" s="329" t="s">
        <v>2295</v>
      </c>
      <c r="D366" s="329" t="s">
        <v>2296</v>
      </c>
      <c r="E366" s="329" t="s">
        <v>2297</v>
      </c>
      <c r="F366" s="329" t="s">
        <v>1303</v>
      </c>
      <c r="G366" s="329" t="s">
        <v>1451</v>
      </c>
    </row>
    <row r="367" spans="1:7" x14ac:dyDescent="0.25">
      <c r="A367" s="328" t="s">
        <v>1499</v>
      </c>
      <c r="B367" s="329" t="s">
        <v>2298</v>
      </c>
      <c r="C367" s="329" t="s">
        <v>1386</v>
      </c>
      <c r="D367" s="329" t="s">
        <v>2299</v>
      </c>
      <c r="E367" s="329" t="s">
        <v>2300</v>
      </c>
      <c r="F367" s="329" t="s">
        <v>1303</v>
      </c>
      <c r="G367" s="329" t="s">
        <v>1451</v>
      </c>
    </row>
    <row r="368" spans="1:7" x14ac:dyDescent="0.25">
      <c r="A368" s="328" t="s">
        <v>1500</v>
      </c>
      <c r="B368" s="329" t="s">
        <v>2301</v>
      </c>
      <c r="C368" s="329" t="s">
        <v>2302</v>
      </c>
      <c r="D368" s="329" t="s">
        <v>1273</v>
      </c>
      <c r="E368" s="329" t="s">
        <v>2293</v>
      </c>
      <c r="F368" s="329" t="s">
        <v>1303</v>
      </c>
      <c r="G368" s="329" t="s">
        <v>1451</v>
      </c>
    </row>
    <row r="369" spans="1:7" x14ac:dyDescent="0.25">
      <c r="A369" s="328" t="s">
        <v>1501</v>
      </c>
      <c r="B369" s="329" t="s">
        <v>2303</v>
      </c>
      <c r="C369" s="329" t="s">
        <v>2304</v>
      </c>
      <c r="D369" s="329" t="s">
        <v>1310</v>
      </c>
      <c r="E369" s="329" t="s">
        <v>2305</v>
      </c>
      <c r="F369" s="329" t="s">
        <v>1303</v>
      </c>
      <c r="G369" s="329" t="s">
        <v>1451</v>
      </c>
    </row>
    <row r="370" spans="1:7" x14ac:dyDescent="0.25">
      <c r="A370" s="328" t="s">
        <v>1502</v>
      </c>
      <c r="B370" s="329" t="s">
        <v>2306</v>
      </c>
      <c r="C370" s="329" t="s">
        <v>2307</v>
      </c>
      <c r="D370" s="329" t="s">
        <v>2308</v>
      </c>
      <c r="E370" s="329" t="s">
        <v>2309</v>
      </c>
      <c r="F370" s="329" t="s">
        <v>1303</v>
      </c>
      <c r="G370" s="329" t="s">
        <v>1451</v>
      </c>
    </row>
    <row r="371" spans="1:7" x14ac:dyDescent="0.25">
      <c r="A371" s="328" t="s">
        <v>1503</v>
      </c>
      <c r="B371" s="329" t="s">
        <v>2242</v>
      </c>
      <c r="C371" s="329" t="s">
        <v>2310</v>
      </c>
      <c r="D371" s="329" t="s">
        <v>2311</v>
      </c>
      <c r="E371" s="329" t="s">
        <v>2257</v>
      </c>
      <c r="F371" s="329" t="s">
        <v>1303</v>
      </c>
      <c r="G371" s="329" t="s">
        <v>1451</v>
      </c>
    </row>
    <row r="372" spans="1:7" x14ac:dyDescent="0.25">
      <c r="B372" s="327" t="s">
        <v>915</v>
      </c>
      <c r="C372" s="327" t="s">
        <v>1008</v>
      </c>
      <c r="D372" s="327" t="s">
        <v>916</v>
      </c>
      <c r="E372" s="327" t="s">
        <v>1009</v>
      </c>
      <c r="F372" s="327" t="s">
        <v>950</v>
      </c>
      <c r="G372" s="327" t="s">
        <v>1010</v>
      </c>
    </row>
    <row r="373" spans="1:7" x14ac:dyDescent="0.25">
      <c r="A373" s="328" t="s">
        <v>1476</v>
      </c>
      <c r="B373" s="329" t="s">
        <v>2312</v>
      </c>
      <c r="C373" s="329" t="s">
        <v>2313</v>
      </c>
      <c r="D373" s="329" t="s">
        <v>2314</v>
      </c>
      <c r="E373" s="329" t="s">
        <v>2315</v>
      </c>
      <c r="F373" s="329" t="s">
        <v>2316</v>
      </c>
      <c r="G373" s="329" t="s">
        <v>2317</v>
      </c>
    </row>
    <row r="374" spans="1:7" x14ac:dyDescent="0.25">
      <c r="A374" s="328" t="s">
        <v>1477</v>
      </c>
      <c r="B374" s="329" t="s">
        <v>2318</v>
      </c>
      <c r="C374" s="329" t="s">
        <v>1104</v>
      </c>
      <c r="D374" s="329" t="s">
        <v>2319</v>
      </c>
      <c r="E374" s="329" t="s">
        <v>2320</v>
      </c>
      <c r="F374" s="329" t="s">
        <v>1205</v>
      </c>
      <c r="G374" s="329" t="s">
        <v>2321</v>
      </c>
    </row>
    <row r="375" spans="1:7" x14ac:dyDescent="0.25">
      <c r="A375" s="328" t="s">
        <v>1478</v>
      </c>
      <c r="B375" s="329" t="s">
        <v>2322</v>
      </c>
      <c r="C375" s="329" t="s">
        <v>2323</v>
      </c>
      <c r="D375" s="329" t="s">
        <v>2324</v>
      </c>
      <c r="E375" s="329" t="s">
        <v>2325</v>
      </c>
      <c r="F375" s="329" t="s">
        <v>1205</v>
      </c>
      <c r="G375" s="329" t="s">
        <v>2321</v>
      </c>
    </row>
    <row r="376" spans="1:7" x14ac:dyDescent="0.25">
      <c r="A376" s="328" t="s">
        <v>1479</v>
      </c>
      <c r="B376" s="329" t="s">
        <v>2326</v>
      </c>
      <c r="C376" s="329" t="s">
        <v>2327</v>
      </c>
      <c r="D376" s="329" t="s">
        <v>2328</v>
      </c>
      <c r="E376" s="329" t="s">
        <v>2329</v>
      </c>
      <c r="F376" s="329" t="s">
        <v>1205</v>
      </c>
      <c r="G376" s="329" t="s">
        <v>2321</v>
      </c>
    </row>
    <row r="377" spans="1:7" x14ac:dyDescent="0.25">
      <c r="A377" s="328" t="s">
        <v>1480</v>
      </c>
      <c r="B377" s="329" t="s">
        <v>2330</v>
      </c>
      <c r="C377" s="329" t="s">
        <v>1102</v>
      </c>
      <c r="D377" s="329" t="s">
        <v>1395</v>
      </c>
      <c r="E377" s="329" t="s">
        <v>2331</v>
      </c>
      <c r="F377" s="329" t="s">
        <v>1205</v>
      </c>
      <c r="G377" s="329" t="s">
        <v>2321</v>
      </c>
    </row>
    <row r="378" spans="1:7" x14ac:dyDescent="0.25">
      <c r="A378" s="328" t="s">
        <v>1481</v>
      </c>
      <c r="B378" s="329" t="s">
        <v>2332</v>
      </c>
      <c r="C378" s="329" t="s">
        <v>2333</v>
      </c>
      <c r="D378" s="329" t="s">
        <v>2334</v>
      </c>
      <c r="E378" s="329" t="s">
        <v>1398</v>
      </c>
      <c r="F378" s="329" t="s">
        <v>1205</v>
      </c>
      <c r="G378" s="329" t="s">
        <v>2321</v>
      </c>
    </row>
    <row r="379" spans="1:7" x14ac:dyDescent="0.25">
      <c r="A379" s="328" t="s">
        <v>1482</v>
      </c>
      <c r="B379" s="329" t="s">
        <v>2335</v>
      </c>
      <c r="C379" s="329" t="s">
        <v>1393</v>
      </c>
      <c r="D379" s="329" t="s">
        <v>2334</v>
      </c>
      <c r="E379" s="329" t="s">
        <v>2336</v>
      </c>
      <c r="F379" s="329" t="s">
        <v>1205</v>
      </c>
      <c r="G379" s="329" t="s">
        <v>2337</v>
      </c>
    </row>
    <row r="380" spans="1:7" x14ac:dyDescent="0.25">
      <c r="A380" s="328" t="s">
        <v>1483</v>
      </c>
      <c r="B380" s="329" t="s">
        <v>2338</v>
      </c>
      <c r="C380" s="329" t="s">
        <v>1102</v>
      </c>
      <c r="D380" s="329" t="s">
        <v>2334</v>
      </c>
      <c r="E380" s="329" t="s">
        <v>2339</v>
      </c>
      <c r="F380" s="329" t="s">
        <v>1205</v>
      </c>
      <c r="G380" s="329" t="s">
        <v>2340</v>
      </c>
    </row>
    <row r="381" spans="1:7" x14ac:dyDescent="0.25">
      <c r="A381" s="328" t="s">
        <v>1484</v>
      </c>
      <c r="B381" s="329" t="s">
        <v>2335</v>
      </c>
      <c r="C381" s="329" t="s">
        <v>2341</v>
      </c>
      <c r="D381" s="329" t="s">
        <v>2342</v>
      </c>
      <c r="E381" s="329" t="s">
        <v>2343</v>
      </c>
      <c r="F381" s="329" t="s">
        <v>1205</v>
      </c>
      <c r="G381" s="329" t="s">
        <v>2340</v>
      </c>
    </row>
    <row r="382" spans="1:7" x14ac:dyDescent="0.25">
      <c r="A382" s="328" t="s">
        <v>1485</v>
      </c>
      <c r="B382" s="329" t="s">
        <v>2344</v>
      </c>
      <c r="C382" s="329" t="s">
        <v>2345</v>
      </c>
      <c r="D382" s="329" t="s">
        <v>2346</v>
      </c>
      <c r="E382" s="329" t="s">
        <v>2347</v>
      </c>
      <c r="F382" s="329" t="s">
        <v>1205</v>
      </c>
      <c r="G382" s="329" t="s">
        <v>2340</v>
      </c>
    </row>
    <row r="383" spans="1:7" x14ac:dyDescent="0.25">
      <c r="A383" s="328" t="s">
        <v>1486</v>
      </c>
      <c r="B383" s="329" t="s">
        <v>2348</v>
      </c>
      <c r="C383" s="329" t="s">
        <v>2349</v>
      </c>
      <c r="D383" s="329" t="s">
        <v>2350</v>
      </c>
      <c r="E383" s="329" t="s">
        <v>2351</v>
      </c>
      <c r="F383" s="329" t="s">
        <v>1205</v>
      </c>
      <c r="G383" s="329" t="s">
        <v>2340</v>
      </c>
    </row>
    <row r="384" spans="1:7" x14ac:dyDescent="0.25">
      <c r="A384" s="328" t="s">
        <v>1488</v>
      </c>
      <c r="B384" s="329" t="s">
        <v>2352</v>
      </c>
      <c r="C384" s="329" t="s">
        <v>2353</v>
      </c>
      <c r="D384" s="329" t="s">
        <v>2354</v>
      </c>
      <c r="E384" s="329" t="s">
        <v>2355</v>
      </c>
      <c r="F384" s="329" t="s">
        <v>1205</v>
      </c>
      <c r="G384" s="329" t="s">
        <v>2340</v>
      </c>
    </row>
    <row r="385" spans="1:7" x14ac:dyDescent="0.25">
      <c r="A385" s="328" t="s">
        <v>1489</v>
      </c>
      <c r="B385" s="329" t="s">
        <v>2356</v>
      </c>
      <c r="C385" s="329" t="s">
        <v>2357</v>
      </c>
      <c r="D385" s="329" t="s">
        <v>2358</v>
      </c>
      <c r="E385" s="329" t="s">
        <v>1396</v>
      </c>
      <c r="F385" s="329" t="s">
        <v>1205</v>
      </c>
      <c r="G385" s="329" t="s">
        <v>2340</v>
      </c>
    </row>
    <row r="386" spans="1:7" x14ac:dyDescent="0.25">
      <c r="A386" s="328" t="s">
        <v>1491</v>
      </c>
      <c r="B386" s="329" t="s">
        <v>2338</v>
      </c>
      <c r="C386" s="329" t="s">
        <v>1393</v>
      </c>
      <c r="D386" s="329" t="s">
        <v>2359</v>
      </c>
      <c r="E386" s="329" t="s">
        <v>2360</v>
      </c>
      <c r="F386" s="329" t="s">
        <v>1385</v>
      </c>
      <c r="G386" s="329" t="s">
        <v>1392</v>
      </c>
    </row>
    <row r="387" spans="1:7" x14ac:dyDescent="0.25">
      <c r="A387" s="328" t="s">
        <v>1492</v>
      </c>
      <c r="B387" s="329" t="s">
        <v>2361</v>
      </c>
      <c r="C387" s="329" t="s">
        <v>1107</v>
      </c>
      <c r="D387" s="329" t="s">
        <v>2362</v>
      </c>
      <c r="E387" s="329" t="s">
        <v>2363</v>
      </c>
      <c r="F387" s="329" t="s">
        <v>1385</v>
      </c>
      <c r="G387" s="329" t="s">
        <v>1392</v>
      </c>
    </row>
    <row r="388" spans="1:7" x14ac:dyDescent="0.25">
      <c r="A388" s="328" t="s">
        <v>1493</v>
      </c>
      <c r="B388" s="329" t="s">
        <v>2364</v>
      </c>
      <c r="C388" s="329" t="s">
        <v>1397</v>
      </c>
      <c r="D388" s="329" t="s">
        <v>2365</v>
      </c>
      <c r="E388" s="329" t="s">
        <v>1399</v>
      </c>
      <c r="F388" s="329" t="s">
        <v>1385</v>
      </c>
      <c r="G388" s="329" t="s">
        <v>1392</v>
      </c>
    </row>
    <row r="389" spans="1:7" x14ac:dyDescent="0.25">
      <c r="A389" s="328" t="s">
        <v>1495</v>
      </c>
      <c r="B389" s="329" t="s">
        <v>2366</v>
      </c>
      <c r="C389" s="329" t="s">
        <v>2367</v>
      </c>
      <c r="D389" s="329" t="s">
        <v>2368</v>
      </c>
      <c r="E389" s="329" t="s">
        <v>2369</v>
      </c>
      <c r="F389" s="329" t="s">
        <v>1385</v>
      </c>
      <c r="G389" s="329" t="s">
        <v>1392</v>
      </c>
    </row>
    <row r="390" spans="1:7" x14ac:dyDescent="0.25">
      <c r="A390" s="328" t="s">
        <v>1496</v>
      </c>
      <c r="B390" s="329" t="s">
        <v>2370</v>
      </c>
      <c r="C390" s="329" t="s">
        <v>2371</v>
      </c>
      <c r="D390" s="329" t="s">
        <v>2354</v>
      </c>
      <c r="E390" s="329" t="s">
        <v>2372</v>
      </c>
      <c r="F390" s="329" t="s">
        <v>1385</v>
      </c>
      <c r="G390" s="329" t="s">
        <v>1392</v>
      </c>
    </row>
    <row r="391" spans="1:7" x14ac:dyDescent="0.25">
      <c r="A391" s="328" t="s">
        <v>1497</v>
      </c>
      <c r="B391" s="329" t="s">
        <v>2373</v>
      </c>
      <c r="C391" s="329" t="s">
        <v>2374</v>
      </c>
      <c r="D391" s="329" t="s">
        <v>2375</v>
      </c>
      <c r="E391" s="329" t="s">
        <v>2376</v>
      </c>
      <c r="F391" s="329" t="s">
        <v>1385</v>
      </c>
      <c r="G391" s="329" t="s">
        <v>1392</v>
      </c>
    </row>
    <row r="392" spans="1:7" x14ac:dyDescent="0.25">
      <c r="A392" s="328" t="s">
        <v>1498</v>
      </c>
      <c r="B392" s="329" t="s">
        <v>2377</v>
      </c>
      <c r="C392" s="329" t="s">
        <v>2378</v>
      </c>
      <c r="D392" s="329" t="s">
        <v>2379</v>
      </c>
      <c r="E392" s="329" t="s">
        <v>2325</v>
      </c>
      <c r="F392" s="329" t="s">
        <v>1385</v>
      </c>
      <c r="G392" s="329" t="s">
        <v>1392</v>
      </c>
    </row>
    <row r="393" spans="1:7" x14ac:dyDescent="0.25">
      <c r="A393" s="328" t="s">
        <v>1499</v>
      </c>
      <c r="B393" s="329" t="s">
        <v>2380</v>
      </c>
      <c r="C393" s="329" t="s">
        <v>2381</v>
      </c>
      <c r="D393" s="329" t="s">
        <v>2382</v>
      </c>
      <c r="E393" s="329" t="s">
        <v>2383</v>
      </c>
      <c r="F393" s="329" t="s">
        <v>1385</v>
      </c>
      <c r="G393" s="329" t="s">
        <v>2384</v>
      </c>
    </row>
    <row r="394" spans="1:7" x14ac:dyDescent="0.25">
      <c r="A394" s="328" t="s">
        <v>1500</v>
      </c>
      <c r="B394" s="329" t="s">
        <v>2385</v>
      </c>
      <c r="C394" s="329" t="s">
        <v>2386</v>
      </c>
      <c r="D394" s="329" t="s">
        <v>2387</v>
      </c>
      <c r="E394" s="329" t="s">
        <v>2388</v>
      </c>
      <c r="F394" s="329" t="s">
        <v>1385</v>
      </c>
      <c r="G394" s="329" t="s">
        <v>1562</v>
      </c>
    </row>
    <row r="395" spans="1:7" x14ac:dyDescent="0.25">
      <c r="A395" s="328" t="s">
        <v>1501</v>
      </c>
      <c r="B395" s="329" t="s">
        <v>2389</v>
      </c>
      <c r="C395" s="329" t="s">
        <v>2390</v>
      </c>
      <c r="D395" s="329" t="s">
        <v>2391</v>
      </c>
      <c r="E395" s="329" t="s">
        <v>2325</v>
      </c>
      <c r="F395" s="329" t="s">
        <v>1385</v>
      </c>
      <c r="G395" s="329" t="s">
        <v>1562</v>
      </c>
    </row>
    <row r="396" spans="1:7" x14ac:dyDescent="0.25">
      <c r="A396" s="328" t="s">
        <v>1502</v>
      </c>
      <c r="B396" s="329" t="s">
        <v>2392</v>
      </c>
      <c r="C396" s="329" t="s">
        <v>2374</v>
      </c>
      <c r="D396" s="329" t="s">
        <v>2393</v>
      </c>
      <c r="E396" s="329" t="s">
        <v>2394</v>
      </c>
      <c r="F396" s="329" t="s">
        <v>1385</v>
      </c>
      <c r="G396" s="329" t="s">
        <v>1562</v>
      </c>
    </row>
    <row r="397" spans="1:7" x14ac:dyDescent="0.25">
      <c r="A397" s="328" t="s">
        <v>1503</v>
      </c>
      <c r="B397" s="329" t="s">
        <v>2326</v>
      </c>
      <c r="C397" s="329" t="s">
        <v>1394</v>
      </c>
      <c r="D397" s="329" t="s">
        <v>2395</v>
      </c>
      <c r="E397" s="329" t="s">
        <v>2396</v>
      </c>
      <c r="F397" s="329" t="s">
        <v>1385</v>
      </c>
      <c r="G397" s="329" t="s">
        <v>1562</v>
      </c>
    </row>
    <row r="398" spans="1:7" x14ac:dyDescent="0.25">
      <c r="B398" s="327" t="s">
        <v>951</v>
      </c>
      <c r="C398" s="327" t="s">
        <v>1011</v>
      </c>
      <c r="D398" s="327" t="s">
        <v>917</v>
      </c>
      <c r="E398" s="327" t="s">
        <v>952</v>
      </c>
      <c r="F398" s="327" t="s">
        <v>918</v>
      </c>
      <c r="G398" s="327" t="s">
        <v>952</v>
      </c>
    </row>
    <row r="399" spans="1:7" x14ac:dyDescent="0.25">
      <c r="A399" s="328" t="s">
        <v>1476</v>
      </c>
      <c r="B399" s="329" t="s">
        <v>2397</v>
      </c>
      <c r="C399" s="329" t="s">
        <v>2398</v>
      </c>
      <c r="D399" s="329" t="s">
        <v>1218</v>
      </c>
      <c r="E399" s="329" t="s">
        <v>2399</v>
      </c>
      <c r="F399" s="329" t="s">
        <v>1410</v>
      </c>
      <c r="G399" s="329" t="s">
        <v>1206</v>
      </c>
    </row>
    <row r="400" spans="1:7" x14ac:dyDescent="0.25">
      <c r="A400" s="328" t="s">
        <v>1477</v>
      </c>
      <c r="B400" s="329" t="s">
        <v>2400</v>
      </c>
      <c r="C400" s="329" t="s">
        <v>2401</v>
      </c>
      <c r="D400" s="329" t="s">
        <v>2402</v>
      </c>
      <c r="E400" s="329" t="s">
        <v>2403</v>
      </c>
      <c r="F400" s="329" t="s">
        <v>1410</v>
      </c>
      <c r="G400" s="329" t="s">
        <v>2404</v>
      </c>
    </row>
    <row r="401" spans="1:7" x14ac:dyDescent="0.25">
      <c r="A401" s="328" t="s">
        <v>1478</v>
      </c>
      <c r="B401" s="329" t="s">
        <v>2405</v>
      </c>
      <c r="C401" s="329" t="s">
        <v>2401</v>
      </c>
      <c r="D401" s="329" t="s">
        <v>2406</v>
      </c>
      <c r="E401" s="329" t="s">
        <v>2407</v>
      </c>
      <c r="F401" s="329" t="s">
        <v>1407</v>
      </c>
      <c r="G401" s="329" t="s">
        <v>2408</v>
      </c>
    </row>
    <row r="402" spans="1:7" x14ac:dyDescent="0.25">
      <c r="A402" s="328" t="s">
        <v>1479</v>
      </c>
      <c r="B402" s="329" t="s">
        <v>2409</v>
      </c>
      <c r="C402" s="329" t="s">
        <v>2410</v>
      </c>
      <c r="D402" s="329" t="s">
        <v>2402</v>
      </c>
      <c r="E402" s="329" t="s">
        <v>1208</v>
      </c>
      <c r="F402" s="329" t="s">
        <v>1361</v>
      </c>
      <c r="G402" s="329" t="s">
        <v>1206</v>
      </c>
    </row>
    <row r="403" spans="1:7" x14ac:dyDescent="0.25">
      <c r="A403" s="328" t="s">
        <v>1480</v>
      </c>
      <c r="B403" s="329" t="s">
        <v>2411</v>
      </c>
      <c r="C403" s="329" t="s">
        <v>2412</v>
      </c>
      <c r="D403" s="329" t="s">
        <v>2413</v>
      </c>
      <c r="E403" s="329" t="s">
        <v>2414</v>
      </c>
      <c r="F403" s="329" t="s">
        <v>1404</v>
      </c>
      <c r="G403" s="329" t="s">
        <v>2415</v>
      </c>
    </row>
    <row r="404" spans="1:7" x14ac:dyDescent="0.25">
      <c r="A404" s="328" t="s">
        <v>1481</v>
      </c>
      <c r="B404" s="329" t="s">
        <v>2416</v>
      </c>
      <c r="C404" s="329" t="s">
        <v>1211</v>
      </c>
      <c r="D404" s="329" t="s">
        <v>2023</v>
      </c>
      <c r="E404" s="329" t="s">
        <v>2417</v>
      </c>
      <c r="F404" s="329" t="s">
        <v>1361</v>
      </c>
      <c r="G404" s="329" t="s">
        <v>1409</v>
      </c>
    </row>
    <row r="405" spans="1:7" x14ac:dyDescent="0.25">
      <c r="A405" s="328" t="s">
        <v>1482</v>
      </c>
      <c r="B405" s="329" t="s">
        <v>2418</v>
      </c>
      <c r="C405" s="329" t="s">
        <v>1242</v>
      </c>
      <c r="D405" s="329" t="s">
        <v>2419</v>
      </c>
      <c r="E405" s="329" t="s">
        <v>2407</v>
      </c>
      <c r="F405" s="329" t="s">
        <v>1410</v>
      </c>
      <c r="G405" s="329" t="s">
        <v>1224</v>
      </c>
    </row>
    <row r="406" spans="1:7" x14ac:dyDescent="0.25">
      <c r="A406" s="328" t="s">
        <v>1483</v>
      </c>
      <c r="B406" s="329" t="s">
        <v>2420</v>
      </c>
      <c r="C406" s="329" t="s">
        <v>2412</v>
      </c>
      <c r="D406" s="329" t="s">
        <v>2421</v>
      </c>
      <c r="E406" s="329" t="s">
        <v>2422</v>
      </c>
      <c r="F406" s="329" t="s">
        <v>1404</v>
      </c>
      <c r="G406" s="329" t="s">
        <v>1224</v>
      </c>
    </row>
    <row r="407" spans="1:7" x14ac:dyDescent="0.25">
      <c r="A407" s="328" t="s">
        <v>1484</v>
      </c>
      <c r="B407" s="329" t="s">
        <v>2423</v>
      </c>
      <c r="C407" s="329" t="s">
        <v>2424</v>
      </c>
      <c r="D407" s="329" t="s">
        <v>2421</v>
      </c>
      <c r="E407" s="329" t="s">
        <v>2425</v>
      </c>
      <c r="F407" s="329" t="s">
        <v>1405</v>
      </c>
      <c r="G407" s="329" t="s">
        <v>1217</v>
      </c>
    </row>
    <row r="408" spans="1:7" x14ac:dyDescent="0.25">
      <c r="A408" s="328" t="s">
        <v>1485</v>
      </c>
      <c r="B408" s="329" t="s">
        <v>1250</v>
      </c>
      <c r="C408" s="329" t="s">
        <v>1248</v>
      </c>
      <c r="D408" s="329" t="s">
        <v>2426</v>
      </c>
      <c r="E408" s="329" t="s">
        <v>2407</v>
      </c>
      <c r="F408" s="329" t="s">
        <v>2427</v>
      </c>
      <c r="G408" s="329" t="s">
        <v>1224</v>
      </c>
    </row>
    <row r="409" spans="1:7" x14ac:dyDescent="0.25">
      <c r="A409" s="328" t="s">
        <v>1486</v>
      </c>
      <c r="B409" s="329" t="s">
        <v>2428</v>
      </c>
      <c r="C409" s="329" t="s">
        <v>2429</v>
      </c>
      <c r="D409" s="329" t="s">
        <v>1223</v>
      </c>
      <c r="E409" s="329" t="s">
        <v>1207</v>
      </c>
      <c r="F409" s="329" t="s">
        <v>1225</v>
      </c>
      <c r="G409" s="329" t="s">
        <v>2430</v>
      </c>
    </row>
    <row r="410" spans="1:7" x14ac:dyDescent="0.25">
      <c r="A410" s="328" t="s">
        <v>1488</v>
      </c>
      <c r="B410" s="329" t="s">
        <v>2431</v>
      </c>
      <c r="C410" s="329" t="s">
        <v>2432</v>
      </c>
      <c r="D410" s="329" t="s">
        <v>2419</v>
      </c>
      <c r="E410" s="329" t="s">
        <v>2425</v>
      </c>
      <c r="F410" s="329" t="s">
        <v>1217</v>
      </c>
      <c r="G410" s="329" t="s">
        <v>1222</v>
      </c>
    </row>
    <row r="411" spans="1:7" x14ac:dyDescent="0.25">
      <c r="A411" s="328" t="s">
        <v>1489</v>
      </c>
      <c r="B411" s="329" t="s">
        <v>1416</v>
      </c>
      <c r="C411" s="329" t="s">
        <v>2433</v>
      </c>
      <c r="D411" s="329" t="s">
        <v>2044</v>
      </c>
      <c r="E411" s="329" t="s">
        <v>1207</v>
      </c>
      <c r="F411" s="329" t="s">
        <v>2434</v>
      </c>
      <c r="G411" s="329" t="s">
        <v>2435</v>
      </c>
    </row>
    <row r="412" spans="1:7" x14ac:dyDescent="0.25">
      <c r="A412" s="328" t="s">
        <v>1491</v>
      </c>
      <c r="B412" s="329" t="s">
        <v>2436</v>
      </c>
      <c r="C412" s="329" t="s">
        <v>1133</v>
      </c>
      <c r="D412" s="329" t="s">
        <v>2040</v>
      </c>
      <c r="E412" s="329" t="s">
        <v>2437</v>
      </c>
      <c r="F412" s="329" t="s">
        <v>1400</v>
      </c>
      <c r="G412" s="329" t="s">
        <v>2430</v>
      </c>
    </row>
    <row r="413" spans="1:7" x14ac:dyDescent="0.25">
      <c r="A413" s="328" t="s">
        <v>1492</v>
      </c>
      <c r="B413" s="329" t="s">
        <v>2438</v>
      </c>
      <c r="C413" s="329" t="s">
        <v>2439</v>
      </c>
      <c r="D413" s="329" t="s">
        <v>2440</v>
      </c>
      <c r="E413" s="329" t="s">
        <v>2403</v>
      </c>
      <c r="F413" s="329" t="s">
        <v>2427</v>
      </c>
      <c r="G413" s="329" t="s">
        <v>2441</v>
      </c>
    </row>
    <row r="414" spans="1:7" x14ac:dyDescent="0.25">
      <c r="A414" s="328" t="s">
        <v>1493</v>
      </c>
      <c r="B414" s="329" t="s">
        <v>2442</v>
      </c>
      <c r="C414" s="329" t="s">
        <v>1413</v>
      </c>
      <c r="D414" s="329" t="s">
        <v>2426</v>
      </c>
      <c r="E414" s="329" t="s">
        <v>2437</v>
      </c>
      <c r="F414" s="329" t="s">
        <v>2427</v>
      </c>
      <c r="G414" s="329" t="s">
        <v>1409</v>
      </c>
    </row>
    <row r="415" spans="1:7" x14ac:dyDescent="0.25">
      <c r="A415" s="328" t="s">
        <v>1495</v>
      </c>
      <c r="B415" s="329" t="s">
        <v>2443</v>
      </c>
      <c r="C415" s="329" t="s">
        <v>2444</v>
      </c>
      <c r="D415" s="329" t="s">
        <v>2445</v>
      </c>
      <c r="E415" s="329" t="s">
        <v>2446</v>
      </c>
      <c r="F415" s="329" t="s">
        <v>2427</v>
      </c>
      <c r="G415" s="329" t="s">
        <v>1224</v>
      </c>
    </row>
    <row r="416" spans="1:7" x14ac:dyDescent="0.25">
      <c r="A416" s="328" t="s">
        <v>1496</v>
      </c>
      <c r="B416" s="329" t="s">
        <v>2447</v>
      </c>
      <c r="C416" s="329" t="s">
        <v>2448</v>
      </c>
      <c r="D416" s="329" t="s">
        <v>1403</v>
      </c>
      <c r="E416" s="329" t="s">
        <v>2449</v>
      </c>
      <c r="F416" s="329" t="s">
        <v>2427</v>
      </c>
      <c r="G416" s="329" t="s">
        <v>1221</v>
      </c>
    </row>
    <row r="417" spans="1:7" x14ac:dyDescent="0.25">
      <c r="A417" s="328" t="s">
        <v>1497</v>
      </c>
      <c r="B417" s="329" t="s">
        <v>2450</v>
      </c>
      <c r="C417" s="329" t="s">
        <v>2451</v>
      </c>
      <c r="D417" s="329" t="s">
        <v>1406</v>
      </c>
      <c r="E417" s="329" t="s">
        <v>1871</v>
      </c>
      <c r="F417" s="329" t="s">
        <v>2427</v>
      </c>
      <c r="G417" s="329" t="s">
        <v>2415</v>
      </c>
    </row>
    <row r="418" spans="1:7" x14ac:dyDescent="0.25">
      <c r="A418" s="328" t="s">
        <v>1498</v>
      </c>
      <c r="B418" s="329" t="s">
        <v>2405</v>
      </c>
      <c r="C418" s="329" t="s">
        <v>1247</v>
      </c>
      <c r="D418" s="329" t="s">
        <v>2452</v>
      </c>
      <c r="E418" s="329" t="s">
        <v>2449</v>
      </c>
      <c r="F418" s="329" t="s">
        <v>2453</v>
      </c>
      <c r="G418" s="329" t="s">
        <v>2454</v>
      </c>
    </row>
    <row r="419" spans="1:7" x14ac:dyDescent="0.25">
      <c r="A419" s="328" t="s">
        <v>1499</v>
      </c>
      <c r="B419" s="329" t="s">
        <v>2455</v>
      </c>
      <c r="C419" s="329" t="s">
        <v>2456</v>
      </c>
      <c r="D419" s="329" t="s">
        <v>2452</v>
      </c>
      <c r="E419" s="329" t="s">
        <v>2457</v>
      </c>
      <c r="F419" s="329" t="s">
        <v>2430</v>
      </c>
      <c r="G419" s="329" t="s">
        <v>2458</v>
      </c>
    </row>
    <row r="420" spans="1:7" x14ac:dyDescent="0.25">
      <c r="A420" s="328" t="s">
        <v>1500</v>
      </c>
      <c r="B420" s="329" t="s">
        <v>2459</v>
      </c>
      <c r="C420" s="329" t="s">
        <v>2460</v>
      </c>
      <c r="D420" s="329" t="s">
        <v>2461</v>
      </c>
      <c r="E420" s="329" t="s">
        <v>2462</v>
      </c>
      <c r="F420" s="329" t="s">
        <v>1226</v>
      </c>
      <c r="G420" s="329" t="s">
        <v>1206</v>
      </c>
    </row>
    <row r="421" spans="1:7" x14ac:dyDescent="0.25">
      <c r="A421" s="328" t="s">
        <v>1501</v>
      </c>
      <c r="B421" s="329" t="s">
        <v>2463</v>
      </c>
      <c r="C421" s="329" t="s">
        <v>2464</v>
      </c>
      <c r="D421" s="329" t="s">
        <v>1219</v>
      </c>
      <c r="E421" s="329" t="s">
        <v>2457</v>
      </c>
      <c r="F421" s="329" t="s">
        <v>2427</v>
      </c>
      <c r="G421" s="329" t="s">
        <v>1206</v>
      </c>
    </row>
    <row r="422" spans="1:7" x14ac:dyDescent="0.25">
      <c r="A422" s="328" t="s">
        <v>1502</v>
      </c>
      <c r="B422" s="329" t="s">
        <v>2465</v>
      </c>
      <c r="C422" s="329" t="s">
        <v>1249</v>
      </c>
      <c r="D422" s="329" t="s">
        <v>2466</v>
      </c>
      <c r="E422" s="329" t="s">
        <v>1210</v>
      </c>
      <c r="F422" s="329" t="s">
        <v>2467</v>
      </c>
      <c r="G422" s="329" t="s">
        <v>1408</v>
      </c>
    </row>
    <row r="423" spans="1:7" x14ac:dyDescent="0.25">
      <c r="A423" s="328" t="s">
        <v>1503</v>
      </c>
      <c r="B423" s="329" t="s">
        <v>2468</v>
      </c>
      <c r="C423" s="329" t="s">
        <v>2451</v>
      </c>
      <c r="D423" s="329" t="s">
        <v>1402</v>
      </c>
      <c r="E423" s="329" t="s">
        <v>1210</v>
      </c>
      <c r="F423" s="329" t="s">
        <v>2458</v>
      </c>
      <c r="G423" s="329" t="s">
        <v>1257</v>
      </c>
    </row>
    <row r="424" spans="1:7" x14ac:dyDescent="0.25">
      <c r="B424" s="327" t="s">
        <v>1411</v>
      </c>
      <c r="C424" s="327" t="s">
        <v>1465</v>
      </c>
      <c r="D424" s="327" t="s">
        <v>1412</v>
      </c>
      <c r="E424" s="327" t="s">
        <v>1467</v>
      </c>
      <c r="F424" s="327" t="s">
        <v>983</v>
      </c>
      <c r="G424" s="327" t="s">
        <v>984</v>
      </c>
    </row>
    <row r="425" spans="1:7" x14ac:dyDescent="0.25">
      <c r="A425" s="328" t="s">
        <v>1476</v>
      </c>
      <c r="B425" s="329" t="s">
        <v>1127</v>
      </c>
      <c r="C425" s="329" t="s">
        <v>1131</v>
      </c>
      <c r="D425" s="329" t="s">
        <v>2469</v>
      </c>
      <c r="E425" s="329" t="s">
        <v>2470</v>
      </c>
      <c r="F425" s="329" t="s">
        <v>1834</v>
      </c>
      <c r="G425" s="329" t="s">
        <v>2471</v>
      </c>
    </row>
    <row r="426" spans="1:7" x14ac:dyDescent="0.25">
      <c r="A426" s="328" t="s">
        <v>1477</v>
      </c>
      <c r="B426" s="329" t="s">
        <v>1125</v>
      </c>
      <c r="C426" s="329" t="s">
        <v>1414</v>
      </c>
      <c r="D426" s="329" t="s">
        <v>2472</v>
      </c>
      <c r="E426" s="329" t="s">
        <v>2473</v>
      </c>
      <c r="F426" s="329" t="s">
        <v>2474</v>
      </c>
      <c r="G426" s="329" t="s">
        <v>1458</v>
      </c>
    </row>
    <row r="427" spans="1:7" x14ac:dyDescent="0.25">
      <c r="A427" s="328" t="s">
        <v>1478</v>
      </c>
      <c r="B427" s="329" t="s">
        <v>2475</v>
      </c>
      <c r="C427" s="329" t="s">
        <v>2476</v>
      </c>
      <c r="D427" s="329" t="s">
        <v>2477</v>
      </c>
      <c r="E427" s="329" t="s">
        <v>2478</v>
      </c>
      <c r="F427" s="329" t="s">
        <v>1315</v>
      </c>
      <c r="G427" s="329" t="s">
        <v>2479</v>
      </c>
    </row>
    <row r="428" spans="1:7" x14ac:dyDescent="0.25">
      <c r="A428" s="328" t="s">
        <v>1479</v>
      </c>
      <c r="B428" s="329" t="s">
        <v>2480</v>
      </c>
      <c r="C428" s="329" t="s">
        <v>1239</v>
      </c>
      <c r="D428" s="329" t="s">
        <v>2481</v>
      </c>
      <c r="E428" s="329" t="s">
        <v>2482</v>
      </c>
      <c r="F428" s="329" t="s">
        <v>2483</v>
      </c>
      <c r="G428" s="329" t="s">
        <v>2484</v>
      </c>
    </row>
    <row r="429" spans="1:7" x14ac:dyDescent="0.25">
      <c r="A429" s="328" t="s">
        <v>1480</v>
      </c>
      <c r="B429" s="329" t="s">
        <v>1082</v>
      </c>
      <c r="C429" s="329" t="s">
        <v>1240</v>
      </c>
      <c r="D429" s="329" t="s">
        <v>2485</v>
      </c>
      <c r="E429" s="329" t="s">
        <v>2486</v>
      </c>
      <c r="F429" s="329" t="s">
        <v>1143</v>
      </c>
      <c r="G429" s="329" t="s">
        <v>2281</v>
      </c>
    </row>
    <row r="430" spans="1:7" x14ac:dyDescent="0.25">
      <c r="A430" s="328" t="s">
        <v>1481</v>
      </c>
      <c r="B430" s="329" t="s">
        <v>1264</v>
      </c>
      <c r="C430" s="329" t="s">
        <v>2487</v>
      </c>
      <c r="D430" s="329" t="s">
        <v>2488</v>
      </c>
      <c r="E430" s="329" t="s">
        <v>2489</v>
      </c>
      <c r="F430" s="329" t="s">
        <v>1116</v>
      </c>
      <c r="G430" s="329" t="s">
        <v>2490</v>
      </c>
    </row>
    <row r="431" spans="1:7" x14ac:dyDescent="0.25">
      <c r="A431" s="328" t="s">
        <v>1482</v>
      </c>
      <c r="B431" s="329" t="s">
        <v>1127</v>
      </c>
      <c r="C431" s="329" t="s">
        <v>2433</v>
      </c>
      <c r="D431" s="329" t="s">
        <v>2491</v>
      </c>
      <c r="E431" s="329" t="s">
        <v>2492</v>
      </c>
      <c r="F431" s="329" t="s">
        <v>2493</v>
      </c>
      <c r="G431" s="329" t="s">
        <v>1277</v>
      </c>
    </row>
    <row r="432" spans="1:7" x14ac:dyDescent="0.25">
      <c r="A432" s="328" t="s">
        <v>1483</v>
      </c>
      <c r="B432" s="329" t="s">
        <v>1324</v>
      </c>
      <c r="C432" s="329" t="s">
        <v>2494</v>
      </c>
      <c r="D432" s="329" t="s">
        <v>2495</v>
      </c>
      <c r="E432" s="329" t="s">
        <v>2496</v>
      </c>
      <c r="F432" s="329" t="s">
        <v>1086</v>
      </c>
      <c r="G432" s="329" t="s">
        <v>2497</v>
      </c>
    </row>
    <row r="433" spans="1:7" x14ac:dyDescent="0.25">
      <c r="A433" s="328" t="s">
        <v>1484</v>
      </c>
      <c r="B433" s="329" t="s">
        <v>2498</v>
      </c>
      <c r="C433" s="329" t="s">
        <v>1245</v>
      </c>
      <c r="D433" s="329" t="s">
        <v>2499</v>
      </c>
      <c r="E433" s="329" t="s">
        <v>2500</v>
      </c>
      <c r="F433" s="329" t="s">
        <v>1293</v>
      </c>
      <c r="G433" s="329" t="s">
        <v>2471</v>
      </c>
    </row>
    <row r="434" spans="1:7" x14ac:dyDescent="0.25">
      <c r="A434" s="328" t="s">
        <v>1485</v>
      </c>
      <c r="B434" s="329" t="s">
        <v>1127</v>
      </c>
      <c r="C434" s="329" t="s">
        <v>1245</v>
      </c>
      <c r="D434" s="329" t="s">
        <v>2501</v>
      </c>
      <c r="E434" s="329" t="s">
        <v>2502</v>
      </c>
      <c r="F434" s="329" t="s">
        <v>1164</v>
      </c>
      <c r="G434" s="329" t="s">
        <v>2471</v>
      </c>
    </row>
    <row r="435" spans="1:7" x14ac:dyDescent="0.25">
      <c r="A435" s="328" t="s">
        <v>1486</v>
      </c>
      <c r="B435" s="329" t="s">
        <v>2503</v>
      </c>
      <c r="C435" s="329" t="s">
        <v>1245</v>
      </c>
      <c r="D435" s="329" t="s">
        <v>2504</v>
      </c>
      <c r="E435" s="329" t="s">
        <v>2505</v>
      </c>
      <c r="F435" s="329" t="s">
        <v>2506</v>
      </c>
      <c r="G435" s="329" t="s">
        <v>2471</v>
      </c>
    </row>
    <row r="436" spans="1:7" x14ac:dyDescent="0.25">
      <c r="A436" s="328" t="s">
        <v>1488</v>
      </c>
      <c r="B436" s="329" t="s">
        <v>2507</v>
      </c>
      <c r="C436" s="329" t="s">
        <v>2508</v>
      </c>
      <c r="D436" s="329" t="s">
        <v>2509</v>
      </c>
      <c r="E436" s="329" t="s">
        <v>2510</v>
      </c>
      <c r="F436" s="329" t="s">
        <v>1163</v>
      </c>
      <c r="G436" s="329" t="s">
        <v>2511</v>
      </c>
    </row>
    <row r="437" spans="1:7" x14ac:dyDescent="0.25">
      <c r="A437" s="328" t="s">
        <v>1489</v>
      </c>
      <c r="B437" s="329" t="s">
        <v>2512</v>
      </c>
      <c r="C437" s="329" t="s">
        <v>2513</v>
      </c>
      <c r="D437" s="329" t="s">
        <v>2514</v>
      </c>
      <c r="E437" s="329" t="s">
        <v>2515</v>
      </c>
      <c r="F437" s="329" t="s">
        <v>2474</v>
      </c>
      <c r="G437" s="329" t="s">
        <v>1415</v>
      </c>
    </row>
    <row r="438" spans="1:7" x14ac:dyDescent="0.25">
      <c r="A438" s="328" t="s">
        <v>1491</v>
      </c>
      <c r="B438" s="329" t="s">
        <v>2507</v>
      </c>
      <c r="C438" s="329" t="s">
        <v>2516</v>
      </c>
      <c r="D438" s="329" t="s">
        <v>2517</v>
      </c>
      <c r="E438" s="329" t="s">
        <v>2518</v>
      </c>
      <c r="F438" s="329" t="s">
        <v>1120</v>
      </c>
      <c r="G438" s="329" t="s">
        <v>2519</v>
      </c>
    </row>
    <row r="439" spans="1:7" x14ac:dyDescent="0.25">
      <c r="A439" s="328" t="s">
        <v>1492</v>
      </c>
      <c r="B439" s="329" t="s">
        <v>2520</v>
      </c>
      <c r="C439" s="329" t="s">
        <v>2521</v>
      </c>
      <c r="D439" s="329" t="s">
        <v>1334</v>
      </c>
      <c r="E439" s="329" t="s">
        <v>2522</v>
      </c>
      <c r="F439" s="329" t="s">
        <v>2523</v>
      </c>
      <c r="G439" s="329" t="s">
        <v>2524</v>
      </c>
    </row>
    <row r="440" spans="1:7" x14ac:dyDescent="0.25">
      <c r="A440" s="328" t="s">
        <v>1493</v>
      </c>
      <c r="B440" s="329" t="s">
        <v>2503</v>
      </c>
      <c r="C440" s="329" t="s">
        <v>2525</v>
      </c>
      <c r="D440" s="329" t="s">
        <v>2526</v>
      </c>
      <c r="E440" s="329" t="s">
        <v>2527</v>
      </c>
      <c r="F440" s="329" t="s">
        <v>1148</v>
      </c>
      <c r="G440" s="329" t="s">
        <v>1198</v>
      </c>
    </row>
    <row r="441" spans="1:7" x14ac:dyDescent="0.25">
      <c r="A441" s="328" t="s">
        <v>1495</v>
      </c>
      <c r="B441" s="329" t="s">
        <v>1324</v>
      </c>
      <c r="C441" s="329" t="s">
        <v>1068</v>
      </c>
      <c r="D441" s="329" t="s">
        <v>2528</v>
      </c>
      <c r="E441" s="329" t="s">
        <v>2529</v>
      </c>
      <c r="F441" s="329" t="s">
        <v>1072</v>
      </c>
      <c r="G441" s="329" t="s">
        <v>2530</v>
      </c>
    </row>
    <row r="442" spans="1:7" x14ac:dyDescent="0.25">
      <c r="A442" s="328" t="s">
        <v>1496</v>
      </c>
      <c r="B442" s="329" t="s">
        <v>2531</v>
      </c>
      <c r="C442" s="329" t="s">
        <v>2532</v>
      </c>
      <c r="D442" s="329" t="s">
        <v>1661</v>
      </c>
      <c r="E442" s="329" t="s">
        <v>2533</v>
      </c>
      <c r="F442" s="329" t="s">
        <v>1289</v>
      </c>
      <c r="G442" s="329" t="s">
        <v>2534</v>
      </c>
    </row>
    <row r="443" spans="1:7" x14ac:dyDescent="0.25">
      <c r="A443" s="328" t="s">
        <v>1497</v>
      </c>
      <c r="B443" s="329" t="s">
        <v>2535</v>
      </c>
      <c r="C443" s="329" t="s">
        <v>2536</v>
      </c>
      <c r="D443" s="329" t="s">
        <v>1101</v>
      </c>
      <c r="E443" s="329" t="s">
        <v>2537</v>
      </c>
      <c r="F443" s="329" t="s">
        <v>1044</v>
      </c>
      <c r="G443" s="329" t="s">
        <v>2538</v>
      </c>
    </row>
    <row r="444" spans="1:7" x14ac:dyDescent="0.25">
      <c r="A444" s="328" t="s">
        <v>1498</v>
      </c>
      <c r="B444" s="329" t="s">
        <v>2539</v>
      </c>
      <c r="C444" s="329" t="s">
        <v>2540</v>
      </c>
      <c r="D444" s="329" t="s">
        <v>2541</v>
      </c>
      <c r="E444" s="329" t="s">
        <v>2542</v>
      </c>
      <c r="F444" s="329" t="s">
        <v>1168</v>
      </c>
      <c r="G444" s="329" t="s">
        <v>1252</v>
      </c>
    </row>
    <row r="445" spans="1:7" x14ac:dyDescent="0.25">
      <c r="A445" s="328" t="s">
        <v>1499</v>
      </c>
      <c r="B445" s="329" t="s">
        <v>2531</v>
      </c>
      <c r="C445" s="329" t="s">
        <v>1381</v>
      </c>
      <c r="D445" s="329" t="s">
        <v>2543</v>
      </c>
      <c r="E445" s="329" t="s">
        <v>2544</v>
      </c>
      <c r="F445" s="329" t="s">
        <v>1154</v>
      </c>
      <c r="G445" s="329" t="s">
        <v>1455</v>
      </c>
    </row>
    <row r="446" spans="1:7" x14ac:dyDescent="0.25">
      <c r="A446" s="328" t="s">
        <v>1500</v>
      </c>
      <c r="B446" s="329" t="s">
        <v>1262</v>
      </c>
      <c r="C446" s="329" t="s">
        <v>1384</v>
      </c>
      <c r="D446" s="329" t="s">
        <v>2545</v>
      </c>
      <c r="E446" s="329" t="s">
        <v>2546</v>
      </c>
      <c r="F446" s="329" t="s">
        <v>1079</v>
      </c>
      <c r="G446" s="329" t="s">
        <v>1455</v>
      </c>
    </row>
    <row r="447" spans="1:7" x14ac:dyDescent="0.25">
      <c r="A447" s="328" t="s">
        <v>1501</v>
      </c>
      <c r="B447" s="329" t="s">
        <v>1260</v>
      </c>
      <c r="C447" s="329" t="s">
        <v>1384</v>
      </c>
      <c r="D447" s="329" t="s">
        <v>2526</v>
      </c>
      <c r="E447" s="329" t="s">
        <v>2547</v>
      </c>
      <c r="F447" s="329" t="s">
        <v>1079</v>
      </c>
      <c r="G447" s="329" t="s">
        <v>2548</v>
      </c>
    </row>
    <row r="448" spans="1:7" x14ac:dyDescent="0.25">
      <c r="A448" s="328" t="s">
        <v>1502</v>
      </c>
      <c r="B448" s="329" t="s">
        <v>1256</v>
      </c>
      <c r="C448" s="329" t="s">
        <v>1139</v>
      </c>
      <c r="D448" s="329" t="s">
        <v>2549</v>
      </c>
      <c r="E448" s="329" t="s">
        <v>2550</v>
      </c>
      <c r="F448" s="329" t="s">
        <v>2551</v>
      </c>
      <c r="G448" s="329" t="s">
        <v>2552</v>
      </c>
    </row>
    <row r="449" spans="1:7" x14ac:dyDescent="0.25">
      <c r="A449" s="328" t="s">
        <v>1503</v>
      </c>
      <c r="B449" s="329" t="s">
        <v>1126</v>
      </c>
      <c r="C449" s="329" t="s">
        <v>1069</v>
      </c>
      <c r="D449" s="329" t="s">
        <v>2553</v>
      </c>
      <c r="E449" s="329" t="s">
        <v>2554</v>
      </c>
      <c r="F449" s="329" t="s">
        <v>1091</v>
      </c>
      <c r="G449" s="329" t="s">
        <v>1437</v>
      </c>
    </row>
    <row r="450" spans="1:7" x14ac:dyDescent="0.25">
      <c r="B450" s="327" t="s">
        <v>985</v>
      </c>
      <c r="C450" s="327" t="s">
        <v>986</v>
      </c>
      <c r="D450" s="327" t="s">
        <v>987</v>
      </c>
      <c r="E450" s="327" t="s">
        <v>988</v>
      </c>
      <c r="F450" s="327" t="s">
        <v>989</v>
      </c>
      <c r="G450" s="327" t="s">
        <v>1012</v>
      </c>
    </row>
    <row r="451" spans="1:7" x14ac:dyDescent="0.25">
      <c r="A451" s="328" t="s">
        <v>1476</v>
      </c>
      <c r="B451" s="329" t="s">
        <v>2555</v>
      </c>
      <c r="C451" s="329" t="s">
        <v>2556</v>
      </c>
      <c r="D451" s="329" t="s">
        <v>1294</v>
      </c>
      <c r="E451" s="329" t="s">
        <v>2557</v>
      </c>
      <c r="F451" s="329" t="s">
        <v>2558</v>
      </c>
      <c r="G451" s="329" t="s">
        <v>1419</v>
      </c>
    </row>
    <row r="452" spans="1:7" x14ac:dyDescent="0.25">
      <c r="A452" s="328" t="s">
        <v>1477</v>
      </c>
      <c r="B452" s="329" t="s">
        <v>2559</v>
      </c>
      <c r="C452" s="329" t="s">
        <v>2560</v>
      </c>
      <c r="D452" s="329" t="s">
        <v>1306</v>
      </c>
      <c r="E452" s="329" t="s">
        <v>1078</v>
      </c>
      <c r="F452" s="329" t="s">
        <v>2561</v>
      </c>
      <c r="G452" s="329" t="s">
        <v>2562</v>
      </c>
    </row>
    <row r="453" spans="1:7" x14ac:dyDescent="0.25">
      <c r="A453" s="328" t="s">
        <v>1478</v>
      </c>
      <c r="B453" s="329" t="s">
        <v>1429</v>
      </c>
      <c r="C453" s="329" t="s">
        <v>2560</v>
      </c>
      <c r="D453" s="329" t="s">
        <v>1142</v>
      </c>
      <c r="E453" s="329" t="s">
        <v>1044</v>
      </c>
      <c r="F453" s="329" t="s">
        <v>2561</v>
      </c>
      <c r="G453" s="329" t="s">
        <v>2562</v>
      </c>
    </row>
    <row r="454" spans="1:7" x14ac:dyDescent="0.25">
      <c r="A454" s="328" t="s">
        <v>1479</v>
      </c>
      <c r="B454" s="329" t="s">
        <v>2563</v>
      </c>
      <c r="C454" s="329" t="s">
        <v>2560</v>
      </c>
      <c r="D454" s="329" t="s">
        <v>1296</v>
      </c>
      <c r="E454" s="329" t="s">
        <v>1151</v>
      </c>
      <c r="F454" s="329" t="s">
        <v>2561</v>
      </c>
      <c r="G454" s="329" t="s">
        <v>2562</v>
      </c>
    </row>
    <row r="455" spans="1:7" x14ac:dyDescent="0.25">
      <c r="A455" s="328" t="s">
        <v>1480</v>
      </c>
      <c r="B455" s="329" t="s">
        <v>2564</v>
      </c>
      <c r="C455" s="329" t="s">
        <v>2560</v>
      </c>
      <c r="D455" s="329" t="s">
        <v>1147</v>
      </c>
      <c r="E455" s="329" t="s">
        <v>1441</v>
      </c>
      <c r="F455" s="329" t="s">
        <v>2561</v>
      </c>
      <c r="G455" s="329" t="s">
        <v>2562</v>
      </c>
    </row>
    <row r="456" spans="1:7" x14ac:dyDescent="0.25">
      <c r="A456" s="328" t="s">
        <v>1481</v>
      </c>
      <c r="B456" s="329" t="s">
        <v>2564</v>
      </c>
      <c r="C456" s="329" t="s">
        <v>2560</v>
      </c>
      <c r="D456" s="329" t="s">
        <v>1169</v>
      </c>
      <c r="E456" s="329" t="s">
        <v>2565</v>
      </c>
      <c r="F456" s="329" t="s">
        <v>2561</v>
      </c>
      <c r="G456" s="329" t="s">
        <v>2562</v>
      </c>
    </row>
    <row r="457" spans="1:7" x14ac:dyDescent="0.25">
      <c r="A457" s="328" t="s">
        <v>1482</v>
      </c>
      <c r="B457" s="329" t="s">
        <v>2566</v>
      </c>
      <c r="C457" s="329" t="s">
        <v>2560</v>
      </c>
      <c r="D457" s="329" t="s">
        <v>1463</v>
      </c>
      <c r="E457" s="329" t="s">
        <v>1279</v>
      </c>
      <c r="F457" s="329" t="s">
        <v>2561</v>
      </c>
      <c r="G457" s="329" t="s">
        <v>2562</v>
      </c>
    </row>
    <row r="458" spans="1:7" x14ac:dyDescent="0.25">
      <c r="A458" s="328" t="s">
        <v>1483</v>
      </c>
      <c r="B458" s="329" t="s">
        <v>1420</v>
      </c>
      <c r="C458" s="329" t="s">
        <v>2560</v>
      </c>
      <c r="D458" s="329" t="s">
        <v>2567</v>
      </c>
      <c r="E458" s="329" t="s">
        <v>1145</v>
      </c>
      <c r="F458" s="329" t="s">
        <v>2561</v>
      </c>
      <c r="G458" s="329" t="s">
        <v>2562</v>
      </c>
    </row>
    <row r="459" spans="1:7" x14ac:dyDescent="0.25">
      <c r="A459" s="328" t="s">
        <v>1484</v>
      </c>
      <c r="B459" s="329" t="s">
        <v>2568</v>
      </c>
      <c r="C459" s="329" t="s">
        <v>2560</v>
      </c>
      <c r="D459" s="329" t="s">
        <v>2569</v>
      </c>
      <c r="E459" s="329" t="s">
        <v>2570</v>
      </c>
      <c r="F459" s="329" t="s">
        <v>2561</v>
      </c>
      <c r="G459" s="329" t="s">
        <v>2562</v>
      </c>
    </row>
    <row r="460" spans="1:7" x14ac:dyDescent="0.25">
      <c r="A460" s="328" t="s">
        <v>1485</v>
      </c>
      <c r="B460" s="329" t="s">
        <v>2571</v>
      </c>
      <c r="C460" s="329" t="s">
        <v>2560</v>
      </c>
      <c r="D460" s="329" t="s">
        <v>1812</v>
      </c>
      <c r="E460" s="329" t="s">
        <v>2572</v>
      </c>
      <c r="F460" s="329" t="s">
        <v>2561</v>
      </c>
      <c r="G460" s="329" t="s">
        <v>2562</v>
      </c>
    </row>
    <row r="461" spans="1:7" x14ac:dyDescent="0.25">
      <c r="A461" s="328" t="s">
        <v>1486</v>
      </c>
      <c r="B461" s="329" t="s">
        <v>2571</v>
      </c>
      <c r="C461" s="329" t="s">
        <v>2560</v>
      </c>
      <c r="D461" s="329" t="s">
        <v>1812</v>
      </c>
      <c r="E461" s="329" t="s">
        <v>2572</v>
      </c>
      <c r="F461" s="329" t="s">
        <v>2561</v>
      </c>
      <c r="G461" s="329" t="s">
        <v>2562</v>
      </c>
    </row>
    <row r="462" spans="1:7" x14ac:dyDescent="0.25">
      <c r="A462" s="328" t="s">
        <v>1488</v>
      </c>
      <c r="B462" s="329" t="s">
        <v>2571</v>
      </c>
      <c r="C462" s="329" t="s">
        <v>2560</v>
      </c>
      <c r="D462" s="329" t="s">
        <v>2573</v>
      </c>
      <c r="E462" s="329" t="s">
        <v>1445</v>
      </c>
      <c r="F462" s="329" t="s">
        <v>2561</v>
      </c>
      <c r="G462" s="329" t="s">
        <v>2562</v>
      </c>
    </row>
    <row r="463" spans="1:7" x14ac:dyDescent="0.25">
      <c r="A463" s="328" t="s">
        <v>1489</v>
      </c>
      <c r="B463" s="329" t="s">
        <v>2574</v>
      </c>
      <c r="C463" s="329" t="s">
        <v>2560</v>
      </c>
      <c r="D463" s="329" t="s">
        <v>1193</v>
      </c>
      <c r="E463" s="329" t="s">
        <v>1833</v>
      </c>
      <c r="F463" s="329" t="s">
        <v>2561</v>
      </c>
      <c r="G463" s="329" t="s">
        <v>2562</v>
      </c>
    </row>
    <row r="464" spans="1:7" x14ac:dyDescent="0.25">
      <c r="A464" s="328" t="s">
        <v>1491</v>
      </c>
      <c r="B464" s="329" t="s">
        <v>2575</v>
      </c>
      <c r="C464" s="329" t="s">
        <v>1136</v>
      </c>
      <c r="D464" s="329" t="s">
        <v>1812</v>
      </c>
      <c r="E464" s="329" t="s">
        <v>1291</v>
      </c>
      <c r="F464" s="329" t="s">
        <v>2576</v>
      </c>
      <c r="G464" s="329" t="s">
        <v>2577</v>
      </c>
    </row>
    <row r="465" spans="1:7" x14ac:dyDescent="0.25">
      <c r="A465" s="328" t="s">
        <v>1492</v>
      </c>
      <c r="B465" s="329" t="s">
        <v>2578</v>
      </c>
      <c r="C465" s="329" t="s">
        <v>1136</v>
      </c>
      <c r="D465" s="329" t="s">
        <v>1305</v>
      </c>
      <c r="E465" s="329" t="s">
        <v>1360</v>
      </c>
      <c r="F465" s="329" t="s">
        <v>2576</v>
      </c>
      <c r="G465" s="329" t="s">
        <v>2577</v>
      </c>
    </row>
    <row r="466" spans="1:7" x14ac:dyDescent="0.25">
      <c r="A466" s="328" t="s">
        <v>1493</v>
      </c>
      <c r="B466" s="329" t="s">
        <v>2579</v>
      </c>
      <c r="C466" s="329" t="s">
        <v>1136</v>
      </c>
      <c r="D466" s="329" t="s">
        <v>1810</v>
      </c>
      <c r="E466" s="329" t="s">
        <v>2580</v>
      </c>
      <c r="F466" s="329" t="s">
        <v>2576</v>
      </c>
      <c r="G466" s="329" t="s">
        <v>2577</v>
      </c>
    </row>
    <row r="467" spans="1:7" x14ac:dyDescent="0.25">
      <c r="A467" s="328" t="s">
        <v>1495</v>
      </c>
      <c r="B467" s="329" t="s">
        <v>2581</v>
      </c>
      <c r="C467" s="329" t="s">
        <v>1136</v>
      </c>
      <c r="D467" s="329" t="s">
        <v>1345</v>
      </c>
      <c r="E467" s="329" t="s">
        <v>1108</v>
      </c>
      <c r="F467" s="329" t="s">
        <v>2576</v>
      </c>
      <c r="G467" s="329" t="s">
        <v>2577</v>
      </c>
    </row>
    <row r="468" spans="1:7" x14ac:dyDescent="0.25">
      <c r="A468" s="328" t="s">
        <v>1496</v>
      </c>
      <c r="B468" s="329" t="s">
        <v>2582</v>
      </c>
      <c r="C468" s="329" t="s">
        <v>1136</v>
      </c>
      <c r="D468" s="329" t="s">
        <v>2583</v>
      </c>
      <c r="E468" s="329" t="s">
        <v>1435</v>
      </c>
      <c r="F468" s="329" t="s">
        <v>2576</v>
      </c>
      <c r="G468" s="329" t="s">
        <v>2577</v>
      </c>
    </row>
    <row r="469" spans="1:7" x14ac:dyDescent="0.25">
      <c r="A469" s="328" t="s">
        <v>1497</v>
      </c>
      <c r="B469" s="329" t="s">
        <v>2584</v>
      </c>
      <c r="C469" s="329" t="s">
        <v>1136</v>
      </c>
      <c r="D469" s="329" t="s">
        <v>1783</v>
      </c>
      <c r="E469" s="329" t="s">
        <v>2585</v>
      </c>
      <c r="F469" s="329" t="s">
        <v>2576</v>
      </c>
      <c r="G469" s="329" t="s">
        <v>2577</v>
      </c>
    </row>
    <row r="470" spans="1:7" x14ac:dyDescent="0.25">
      <c r="A470" s="328" t="s">
        <v>1498</v>
      </c>
      <c r="B470" s="329" t="s">
        <v>2586</v>
      </c>
      <c r="C470" s="329" t="s">
        <v>1136</v>
      </c>
      <c r="D470" s="329" t="s">
        <v>2587</v>
      </c>
      <c r="E470" s="329" t="s">
        <v>2588</v>
      </c>
      <c r="F470" s="329" t="s">
        <v>2576</v>
      </c>
      <c r="G470" s="329" t="s">
        <v>2577</v>
      </c>
    </row>
    <row r="471" spans="1:7" x14ac:dyDescent="0.25">
      <c r="A471" s="328" t="s">
        <v>1499</v>
      </c>
      <c r="B471" s="329" t="s">
        <v>2589</v>
      </c>
      <c r="C471" s="329" t="s">
        <v>1136</v>
      </c>
      <c r="D471" s="329" t="s">
        <v>2587</v>
      </c>
      <c r="E471" s="329" t="s">
        <v>2588</v>
      </c>
      <c r="F471" s="329" t="s">
        <v>2576</v>
      </c>
      <c r="G471" s="329" t="s">
        <v>2577</v>
      </c>
    </row>
    <row r="472" spans="1:7" x14ac:dyDescent="0.25">
      <c r="A472" s="328" t="s">
        <v>1500</v>
      </c>
      <c r="B472" s="329" t="s">
        <v>2589</v>
      </c>
      <c r="C472" s="329" t="s">
        <v>1136</v>
      </c>
      <c r="D472" s="329" t="s">
        <v>2587</v>
      </c>
      <c r="E472" s="329" t="s">
        <v>2590</v>
      </c>
      <c r="F472" s="329" t="s">
        <v>2576</v>
      </c>
      <c r="G472" s="329" t="s">
        <v>2577</v>
      </c>
    </row>
    <row r="473" spans="1:7" x14ac:dyDescent="0.25">
      <c r="A473" s="328" t="s">
        <v>1501</v>
      </c>
      <c r="B473" s="329" t="s">
        <v>2591</v>
      </c>
      <c r="C473" s="329" t="s">
        <v>1136</v>
      </c>
      <c r="D473" s="329" t="s">
        <v>2587</v>
      </c>
      <c r="E473" s="329" t="s">
        <v>1105</v>
      </c>
      <c r="F473" s="329" t="s">
        <v>2576</v>
      </c>
      <c r="G473" s="329" t="s">
        <v>2577</v>
      </c>
    </row>
    <row r="474" spans="1:7" x14ac:dyDescent="0.25">
      <c r="A474" s="328" t="s">
        <v>1502</v>
      </c>
      <c r="B474" s="329" t="s">
        <v>2592</v>
      </c>
      <c r="C474" s="329" t="s">
        <v>1136</v>
      </c>
      <c r="D474" s="329" t="s">
        <v>1089</v>
      </c>
      <c r="E474" s="329" t="s">
        <v>1146</v>
      </c>
      <c r="F474" s="329" t="s">
        <v>2576</v>
      </c>
      <c r="G474" s="329" t="s">
        <v>2577</v>
      </c>
    </row>
    <row r="475" spans="1:7" x14ac:dyDescent="0.25">
      <c r="A475" s="328" t="s">
        <v>1503</v>
      </c>
      <c r="B475" s="329" t="s">
        <v>2582</v>
      </c>
      <c r="C475" s="329" t="s">
        <v>1136</v>
      </c>
      <c r="D475" s="329" t="s">
        <v>1203</v>
      </c>
      <c r="E475" s="329" t="s">
        <v>1790</v>
      </c>
      <c r="F475" s="329" t="s">
        <v>2576</v>
      </c>
      <c r="G475" s="329" t="s">
        <v>2577</v>
      </c>
    </row>
    <row r="476" spans="1:7" x14ac:dyDescent="0.25">
      <c r="B476" s="327" t="s">
        <v>953</v>
      </c>
      <c r="C476" s="327" t="s">
        <v>954</v>
      </c>
      <c r="D476" s="327" t="s">
        <v>990</v>
      </c>
      <c r="E476" s="327" t="s">
        <v>991</v>
      </c>
      <c r="F476" s="327" t="s">
        <v>955</v>
      </c>
      <c r="G476" s="327" t="s">
        <v>956</v>
      </c>
    </row>
    <row r="477" spans="1:7" x14ac:dyDescent="0.25">
      <c r="A477" s="328" t="s">
        <v>1476</v>
      </c>
      <c r="B477" s="329" t="s">
        <v>2593</v>
      </c>
      <c r="C477" s="329" t="s">
        <v>1153</v>
      </c>
      <c r="D477" s="329" t="s">
        <v>2594</v>
      </c>
      <c r="E477" s="329" t="s">
        <v>1272</v>
      </c>
      <c r="F477" s="329" t="s">
        <v>2595</v>
      </c>
      <c r="G477" s="329" t="s">
        <v>1263</v>
      </c>
    </row>
    <row r="478" spans="1:7" x14ac:dyDescent="0.25">
      <c r="A478" s="328" t="s">
        <v>1477</v>
      </c>
      <c r="B478" s="329" t="s">
        <v>2596</v>
      </c>
      <c r="C478" s="329" t="s">
        <v>2597</v>
      </c>
      <c r="D478" s="329" t="s">
        <v>2598</v>
      </c>
      <c r="E478" s="329" t="s">
        <v>2599</v>
      </c>
      <c r="F478" s="329" t="s">
        <v>2600</v>
      </c>
      <c r="G478" s="329" t="s">
        <v>1265</v>
      </c>
    </row>
    <row r="479" spans="1:7" x14ac:dyDescent="0.25">
      <c r="A479" s="328" t="s">
        <v>1478</v>
      </c>
      <c r="B479" s="329" t="s">
        <v>2601</v>
      </c>
      <c r="C479" s="329" t="s">
        <v>2602</v>
      </c>
      <c r="D479" s="329" t="s">
        <v>2603</v>
      </c>
      <c r="E479" s="329" t="s">
        <v>2599</v>
      </c>
      <c r="F479" s="329" t="s">
        <v>2604</v>
      </c>
      <c r="G479" s="329" t="s">
        <v>1265</v>
      </c>
    </row>
    <row r="480" spans="1:7" x14ac:dyDescent="0.25">
      <c r="A480" s="328" t="s">
        <v>1479</v>
      </c>
      <c r="B480" s="329" t="s">
        <v>2605</v>
      </c>
      <c r="C480" s="329" t="s">
        <v>2606</v>
      </c>
      <c r="D480" s="329" t="s">
        <v>2607</v>
      </c>
      <c r="E480" s="329" t="s">
        <v>2599</v>
      </c>
      <c r="F480" s="329" t="s">
        <v>2604</v>
      </c>
      <c r="G480" s="329" t="s">
        <v>1265</v>
      </c>
    </row>
    <row r="481" spans="1:7" x14ac:dyDescent="0.25">
      <c r="A481" s="328" t="s">
        <v>1480</v>
      </c>
      <c r="B481" s="329" t="s">
        <v>1430</v>
      </c>
      <c r="C481" s="329" t="s">
        <v>2608</v>
      </c>
      <c r="D481" s="329" t="s">
        <v>2578</v>
      </c>
      <c r="E481" s="329" t="s">
        <v>2599</v>
      </c>
      <c r="F481" s="329" t="s">
        <v>2609</v>
      </c>
      <c r="G481" s="329" t="s">
        <v>1265</v>
      </c>
    </row>
    <row r="482" spans="1:7" x14ac:dyDescent="0.25">
      <c r="A482" s="328" t="s">
        <v>1481</v>
      </c>
      <c r="B482" s="329" t="s">
        <v>1430</v>
      </c>
      <c r="C482" s="329" t="s">
        <v>1088</v>
      </c>
      <c r="D482" s="329" t="s">
        <v>2610</v>
      </c>
      <c r="E482" s="329" t="s">
        <v>2599</v>
      </c>
      <c r="F482" s="329" t="s">
        <v>2611</v>
      </c>
      <c r="G482" s="329" t="s">
        <v>1265</v>
      </c>
    </row>
    <row r="483" spans="1:7" x14ac:dyDescent="0.25">
      <c r="A483" s="328" t="s">
        <v>1482</v>
      </c>
      <c r="B483" s="329" t="s">
        <v>1430</v>
      </c>
      <c r="C483" s="329" t="s">
        <v>2612</v>
      </c>
      <c r="D483" s="329" t="s">
        <v>2613</v>
      </c>
      <c r="E483" s="329" t="s">
        <v>2599</v>
      </c>
      <c r="F483" s="329" t="s">
        <v>2614</v>
      </c>
      <c r="G483" s="329" t="s">
        <v>1265</v>
      </c>
    </row>
    <row r="484" spans="1:7" x14ac:dyDescent="0.25">
      <c r="A484" s="328" t="s">
        <v>1483</v>
      </c>
      <c r="B484" s="329" t="s">
        <v>1430</v>
      </c>
      <c r="C484" s="329" t="s">
        <v>1179</v>
      </c>
      <c r="D484" s="329" t="s">
        <v>1188</v>
      </c>
      <c r="E484" s="329" t="s">
        <v>2599</v>
      </c>
      <c r="F484" s="329" t="s">
        <v>2615</v>
      </c>
      <c r="G484" s="329" t="s">
        <v>1265</v>
      </c>
    </row>
    <row r="485" spans="1:7" x14ac:dyDescent="0.25">
      <c r="A485" s="328" t="s">
        <v>1484</v>
      </c>
      <c r="B485" s="329" t="s">
        <v>1430</v>
      </c>
      <c r="C485" s="329" t="s">
        <v>1594</v>
      </c>
      <c r="D485" s="329" t="s">
        <v>2616</v>
      </c>
      <c r="E485" s="329" t="s">
        <v>2599</v>
      </c>
      <c r="F485" s="329" t="s">
        <v>1428</v>
      </c>
      <c r="G485" s="329" t="s">
        <v>1265</v>
      </c>
    </row>
    <row r="486" spans="1:7" x14ac:dyDescent="0.25">
      <c r="A486" s="328" t="s">
        <v>1485</v>
      </c>
      <c r="B486" s="329" t="s">
        <v>1430</v>
      </c>
      <c r="C486" s="329" t="s">
        <v>2617</v>
      </c>
      <c r="D486" s="329" t="s">
        <v>2618</v>
      </c>
      <c r="E486" s="329" t="s">
        <v>2599</v>
      </c>
      <c r="F486" s="329" t="s">
        <v>2619</v>
      </c>
      <c r="G486" s="329" t="s">
        <v>1265</v>
      </c>
    </row>
    <row r="487" spans="1:7" x14ac:dyDescent="0.25">
      <c r="A487" s="328" t="s">
        <v>1486</v>
      </c>
      <c r="B487" s="329" t="s">
        <v>1430</v>
      </c>
      <c r="C487" s="329" t="s">
        <v>2608</v>
      </c>
      <c r="D487" s="329" t="s">
        <v>2618</v>
      </c>
      <c r="E487" s="329" t="s">
        <v>2599</v>
      </c>
      <c r="F487" s="329" t="s">
        <v>2619</v>
      </c>
      <c r="G487" s="329" t="s">
        <v>1265</v>
      </c>
    </row>
    <row r="488" spans="1:7" x14ac:dyDescent="0.25">
      <c r="A488" s="328" t="s">
        <v>1488</v>
      </c>
      <c r="B488" s="329" t="s">
        <v>1430</v>
      </c>
      <c r="C488" s="329" t="s">
        <v>2620</v>
      </c>
      <c r="D488" s="329" t="s">
        <v>2618</v>
      </c>
      <c r="E488" s="329" t="s">
        <v>2599</v>
      </c>
      <c r="F488" s="329" t="s">
        <v>2619</v>
      </c>
      <c r="G488" s="329" t="s">
        <v>1265</v>
      </c>
    </row>
    <row r="489" spans="1:7" x14ac:dyDescent="0.25">
      <c r="A489" s="328" t="s">
        <v>1489</v>
      </c>
      <c r="B489" s="329" t="s">
        <v>1430</v>
      </c>
      <c r="C489" s="329" t="s">
        <v>2621</v>
      </c>
      <c r="D489" s="329" t="s">
        <v>1426</v>
      </c>
      <c r="E489" s="329" t="s">
        <v>2599</v>
      </c>
      <c r="F489" s="329" t="s">
        <v>2604</v>
      </c>
      <c r="G489" s="329" t="s">
        <v>1265</v>
      </c>
    </row>
    <row r="490" spans="1:7" x14ac:dyDescent="0.25">
      <c r="A490" s="328" t="s">
        <v>1491</v>
      </c>
      <c r="B490" s="329" t="s">
        <v>2622</v>
      </c>
      <c r="C490" s="329" t="s">
        <v>2623</v>
      </c>
      <c r="D490" s="329" t="s">
        <v>1188</v>
      </c>
      <c r="E490" s="329" t="s">
        <v>2624</v>
      </c>
      <c r="F490" s="329" t="s">
        <v>2604</v>
      </c>
      <c r="G490" s="329" t="s">
        <v>1418</v>
      </c>
    </row>
    <row r="491" spans="1:7" x14ac:dyDescent="0.25">
      <c r="A491" s="328" t="s">
        <v>1492</v>
      </c>
      <c r="B491" s="329" t="s">
        <v>2622</v>
      </c>
      <c r="C491" s="329" t="s">
        <v>2621</v>
      </c>
      <c r="D491" s="329" t="s">
        <v>1188</v>
      </c>
      <c r="E491" s="329" t="s">
        <v>2624</v>
      </c>
      <c r="F491" s="329" t="s">
        <v>2604</v>
      </c>
      <c r="G491" s="329" t="s">
        <v>1418</v>
      </c>
    </row>
    <row r="492" spans="1:7" x14ac:dyDescent="0.25">
      <c r="A492" s="328" t="s">
        <v>1493</v>
      </c>
      <c r="B492" s="329" t="s">
        <v>2622</v>
      </c>
      <c r="C492" s="329" t="s">
        <v>1182</v>
      </c>
      <c r="D492" s="329" t="s">
        <v>1188</v>
      </c>
      <c r="E492" s="329" t="s">
        <v>2624</v>
      </c>
      <c r="F492" s="329" t="s">
        <v>2604</v>
      </c>
      <c r="G492" s="329" t="s">
        <v>1418</v>
      </c>
    </row>
    <row r="493" spans="1:7" x14ac:dyDescent="0.25">
      <c r="A493" s="328" t="s">
        <v>1495</v>
      </c>
      <c r="B493" s="329" t="s">
        <v>2622</v>
      </c>
      <c r="C493" s="329" t="s">
        <v>2625</v>
      </c>
      <c r="D493" s="329" t="s">
        <v>1188</v>
      </c>
      <c r="E493" s="329" t="s">
        <v>2624</v>
      </c>
      <c r="F493" s="329" t="s">
        <v>2604</v>
      </c>
      <c r="G493" s="329" t="s">
        <v>1418</v>
      </c>
    </row>
    <row r="494" spans="1:7" x14ac:dyDescent="0.25">
      <c r="A494" s="328" t="s">
        <v>1496</v>
      </c>
      <c r="B494" s="329" t="s">
        <v>2622</v>
      </c>
      <c r="C494" s="329" t="s">
        <v>2626</v>
      </c>
      <c r="D494" s="329" t="s">
        <v>1422</v>
      </c>
      <c r="E494" s="329" t="s">
        <v>2624</v>
      </c>
      <c r="F494" s="329" t="s">
        <v>2604</v>
      </c>
      <c r="G494" s="329" t="s">
        <v>1418</v>
      </c>
    </row>
    <row r="495" spans="1:7" x14ac:dyDescent="0.25">
      <c r="A495" s="328" t="s">
        <v>1497</v>
      </c>
      <c r="B495" s="329" t="s">
        <v>2622</v>
      </c>
      <c r="C495" s="329" t="s">
        <v>2606</v>
      </c>
      <c r="D495" s="329" t="s">
        <v>2627</v>
      </c>
      <c r="E495" s="329" t="s">
        <v>2624</v>
      </c>
      <c r="F495" s="329" t="s">
        <v>2604</v>
      </c>
      <c r="G495" s="329" t="s">
        <v>1418</v>
      </c>
    </row>
    <row r="496" spans="1:7" x14ac:dyDescent="0.25">
      <c r="A496" s="328" t="s">
        <v>1498</v>
      </c>
      <c r="B496" s="329" t="s">
        <v>2622</v>
      </c>
      <c r="C496" s="329" t="s">
        <v>1326</v>
      </c>
      <c r="D496" s="329" t="s">
        <v>2628</v>
      </c>
      <c r="E496" s="329" t="s">
        <v>2624</v>
      </c>
      <c r="F496" s="329" t="s">
        <v>2604</v>
      </c>
      <c r="G496" s="329" t="s">
        <v>1418</v>
      </c>
    </row>
    <row r="497" spans="1:7" x14ac:dyDescent="0.25">
      <c r="A497" s="328" t="s">
        <v>1499</v>
      </c>
      <c r="B497" s="329" t="s">
        <v>2622</v>
      </c>
      <c r="C497" s="329" t="s">
        <v>1100</v>
      </c>
      <c r="D497" s="329" t="s">
        <v>2629</v>
      </c>
      <c r="E497" s="329" t="s">
        <v>2624</v>
      </c>
      <c r="F497" s="329" t="s">
        <v>2604</v>
      </c>
      <c r="G497" s="329" t="s">
        <v>1418</v>
      </c>
    </row>
    <row r="498" spans="1:7" x14ac:dyDescent="0.25">
      <c r="A498" s="328" t="s">
        <v>1500</v>
      </c>
      <c r="B498" s="329" t="s">
        <v>2622</v>
      </c>
      <c r="C498" s="329" t="s">
        <v>2630</v>
      </c>
      <c r="D498" s="329" t="s">
        <v>1278</v>
      </c>
      <c r="E498" s="329" t="s">
        <v>2624</v>
      </c>
      <c r="F498" s="329" t="s">
        <v>2604</v>
      </c>
      <c r="G498" s="329" t="s">
        <v>1418</v>
      </c>
    </row>
    <row r="499" spans="1:7" x14ac:dyDescent="0.25">
      <c r="A499" s="328" t="s">
        <v>1501</v>
      </c>
      <c r="B499" s="329" t="s">
        <v>2622</v>
      </c>
      <c r="C499" s="329" t="s">
        <v>2631</v>
      </c>
      <c r="D499" s="329" t="s">
        <v>2632</v>
      </c>
      <c r="E499" s="329" t="s">
        <v>2624</v>
      </c>
      <c r="F499" s="329" t="s">
        <v>2604</v>
      </c>
      <c r="G499" s="329" t="s">
        <v>1418</v>
      </c>
    </row>
    <row r="500" spans="1:7" x14ac:dyDescent="0.25">
      <c r="A500" s="328" t="s">
        <v>1502</v>
      </c>
      <c r="B500" s="329" t="s">
        <v>2622</v>
      </c>
      <c r="C500" s="329" t="s">
        <v>2633</v>
      </c>
      <c r="D500" s="329" t="s">
        <v>2632</v>
      </c>
      <c r="E500" s="329" t="s">
        <v>2624</v>
      </c>
      <c r="F500" s="329" t="s">
        <v>2604</v>
      </c>
      <c r="G500" s="329" t="s">
        <v>1418</v>
      </c>
    </row>
    <row r="501" spans="1:7" x14ac:dyDescent="0.25">
      <c r="A501" s="328" t="s">
        <v>1503</v>
      </c>
      <c r="B501" s="329" t="s">
        <v>2622</v>
      </c>
      <c r="C501" s="329" t="s">
        <v>2634</v>
      </c>
      <c r="D501" s="329" t="s">
        <v>2632</v>
      </c>
      <c r="E501" s="329" t="s">
        <v>2624</v>
      </c>
      <c r="F501" s="329" t="s">
        <v>2604</v>
      </c>
      <c r="G501" s="329" t="s">
        <v>1418</v>
      </c>
    </row>
    <row r="502" spans="1:7" x14ac:dyDescent="0.25">
      <c r="B502" s="327" t="s">
        <v>956</v>
      </c>
      <c r="C502" s="327" t="s">
        <v>957</v>
      </c>
      <c r="D502" s="327" t="s">
        <v>957</v>
      </c>
      <c r="E502" s="327" t="s">
        <v>1013</v>
      </c>
      <c r="F502" s="327" t="s">
        <v>1014</v>
      </c>
      <c r="G502" s="327" t="s">
        <v>1015</v>
      </c>
    </row>
    <row r="503" spans="1:7" x14ac:dyDescent="0.25">
      <c r="A503" s="328" t="s">
        <v>1476</v>
      </c>
      <c r="B503" s="329" t="s">
        <v>1261</v>
      </c>
      <c r="C503" s="329" t="s">
        <v>2635</v>
      </c>
      <c r="D503" s="329" t="s">
        <v>1431</v>
      </c>
      <c r="E503" s="329" t="s">
        <v>1834</v>
      </c>
      <c r="F503" s="329" t="s">
        <v>1271</v>
      </c>
      <c r="G503" s="329" t="s">
        <v>2636</v>
      </c>
    </row>
    <row r="504" spans="1:7" x14ac:dyDescent="0.25">
      <c r="A504" s="328" t="s">
        <v>1477</v>
      </c>
      <c r="B504" s="329" t="s">
        <v>1263</v>
      </c>
      <c r="C504" s="329" t="s">
        <v>2637</v>
      </c>
      <c r="D504" s="329" t="s">
        <v>1432</v>
      </c>
      <c r="E504" s="329" t="s">
        <v>2474</v>
      </c>
      <c r="F504" s="329" t="s">
        <v>2493</v>
      </c>
      <c r="G504" s="329" t="s">
        <v>2638</v>
      </c>
    </row>
    <row r="505" spans="1:7" x14ac:dyDescent="0.25">
      <c r="A505" s="328" t="s">
        <v>1478</v>
      </c>
      <c r="B505" s="329" t="s">
        <v>1263</v>
      </c>
      <c r="C505" s="329" t="s">
        <v>2637</v>
      </c>
      <c r="D505" s="329" t="s">
        <v>1432</v>
      </c>
      <c r="E505" s="329" t="s">
        <v>1315</v>
      </c>
      <c r="F505" s="329" t="s">
        <v>1281</v>
      </c>
      <c r="G505" s="329" t="s">
        <v>2639</v>
      </c>
    </row>
    <row r="506" spans="1:7" x14ac:dyDescent="0.25">
      <c r="A506" s="328" t="s">
        <v>1479</v>
      </c>
      <c r="B506" s="329" t="s">
        <v>1263</v>
      </c>
      <c r="C506" s="329" t="s">
        <v>2637</v>
      </c>
      <c r="D506" s="329" t="s">
        <v>1432</v>
      </c>
      <c r="E506" s="329" t="s">
        <v>2483</v>
      </c>
      <c r="F506" s="329" t="s">
        <v>2506</v>
      </c>
      <c r="G506" s="329" t="s">
        <v>1118</v>
      </c>
    </row>
    <row r="507" spans="1:7" x14ac:dyDescent="0.25">
      <c r="A507" s="328" t="s">
        <v>1480</v>
      </c>
      <c r="B507" s="329" t="s">
        <v>1263</v>
      </c>
      <c r="C507" s="329" t="s">
        <v>2637</v>
      </c>
      <c r="D507" s="329" t="s">
        <v>1432</v>
      </c>
      <c r="E507" s="329" t="s">
        <v>1143</v>
      </c>
      <c r="F507" s="329" t="s">
        <v>1171</v>
      </c>
      <c r="G507" s="329" t="s">
        <v>1115</v>
      </c>
    </row>
    <row r="508" spans="1:7" x14ac:dyDescent="0.25">
      <c r="A508" s="328" t="s">
        <v>1481</v>
      </c>
      <c r="B508" s="329" t="s">
        <v>1263</v>
      </c>
      <c r="C508" s="329" t="s">
        <v>2637</v>
      </c>
      <c r="D508" s="329" t="s">
        <v>1432</v>
      </c>
      <c r="E508" s="329" t="s">
        <v>1116</v>
      </c>
      <c r="F508" s="329" t="s">
        <v>2640</v>
      </c>
      <c r="G508" s="329" t="s">
        <v>2641</v>
      </c>
    </row>
    <row r="509" spans="1:7" x14ac:dyDescent="0.25">
      <c r="A509" s="328" t="s">
        <v>1482</v>
      </c>
      <c r="B509" s="329" t="s">
        <v>1263</v>
      </c>
      <c r="C509" s="329" t="s">
        <v>2637</v>
      </c>
      <c r="D509" s="329" t="s">
        <v>1432</v>
      </c>
      <c r="E509" s="329" t="s">
        <v>2493</v>
      </c>
      <c r="F509" s="329" t="s">
        <v>1459</v>
      </c>
      <c r="G509" s="329" t="s">
        <v>2642</v>
      </c>
    </row>
    <row r="510" spans="1:7" x14ac:dyDescent="0.25">
      <c r="A510" s="328" t="s">
        <v>1483</v>
      </c>
      <c r="B510" s="329" t="s">
        <v>1263</v>
      </c>
      <c r="C510" s="329" t="s">
        <v>2637</v>
      </c>
      <c r="D510" s="329" t="s">
        <v>1432</v>
      </c>
      <c r="E510" s="329" t="s">
        <v>1086</v>
      </c>
      <c r="F510" s="329" t="s">
        <v>1150</v>
      </c>
      <c r="G510" s="329" t="s">
        <v>1119</v>
      </c>
    </row>
    <row r="511" spans="1:7" x14ac:dyDescent="0.25">
      <c r="A511" s="328" t="s">
        <v>1484</v>
      </c>
      <c r="B511" s="329" t="s">
        <v>1263</v>
      </c>
      <c r="C511" s="329" t="s">
        <v>2637</v>
      </c>
      <c r="D511" s="329" t="s">
        <v>1432</v>
      </c>
      <c r="E511" s="329" t="s">
        <v>1293</v>
      </c>
      <c r="F511" s="329" t="s">
        <v>1164</v>
      </c>
      <c r="G511" s="329" t="s">
        <v>2643</v>
      </c>
    </row>
    <row r="512" spans="1:7" x14ac:dyDescent="0.25">
      <c r="A512" s="328" t="s">
        <v>1485</v>
      </c>
      <c r="B512" s="329" t="s">
        <v>1263</v>
      </c>
      <c r="C512" s="329" t="s">
        <v>2637</v>
      </c>
      <c r="D512" s="329" t="s">
        <v>1432</v>
      </c>
      <c r="E512" s="329" t="s">
        <v>1164</v>
      </c>
      <c r="F512" s="329" t="s">
        <v>2644</v>
      </c>
      <c r="G512" s="329" t="s">
        <v>1200</v>
      </c>
    </row>
    <row r="513" spans="1:7" x14ac:dyDescent="0.25">
      <c r="A513" s="328" t="s">
        <v>1486</v>
      </c>
      <c r="B513" s="329" t="s">
        <v>1263</v>
      </c>
      <c r="C513" s="329" t="s">
        <v>2637</v>
      </c>
      <c r="D513" s="329" t="s">
        <v>1432</v>
      </c>
      <c r="E513" s="329" t="s">
        <v>2506</v>
      </c>
      <c r="F513" s="329" t="s">
        <v>2645</v>
      </c>
      <c r="G513" s="329" t="s">
        <v>2646</v>
      </c>
    </row>
    <row r="514" spans="1:7" x14ac:dyDescent="0.25">
      <c r="A514" s="328" t="s">
        <v>1488</v>
      </c>
      <c r="B514" s="329" t="s">
        <v>1263</v>
      </c>
      <c r="C514" s="329" t="s">
        <v>2637</v>
      </c>
      <c r="D514" s="329" t="s">
        <v>1432</v>
      </c>
      <c r="E514" s="329" t="s">
        <v>1163</v>
      </c>
      <c r="F514" s="329" t="s">
        <v>1137</v>
      </c>
      <c r="G514" s="329" t="s">
        <v>2647</v>
      </c>
    </row>
    <row r="515" spans="1:7" x14ac:dyDescent="0.25">
      <c r="A515" s="328" t="s">
        <v>1489</v>
      </c>
      <c r="B515" s="329" t="s">
        <v>1263</v>
      </c>
      <c r="C515" s="329" t="s">
        <v>2637</v>
      </c>
      <c r="D515" s="329" t="s">
        <v>1432</v>
      </c>
      <c r="E515" s="329" t="s">
        <v>2474</v>
      </c>
      <c r="F515" s="329" t="s">
        <v>2644</v>
      </c>
      <c r="G515" s="329" t="s">
        <v>1292</v>
      </c>
    </row>
    <row r="516" spans="1:7" x14ac:dyDescent="0.25">
      <c r="A516" s="328" t="s">
        <v>1491</v>
      </c>
      <c r="B516" s="329" t="s">
        <v>2648</v>
      </c>
      <c r="C516" s="329" t="s">
        <v>1431</v>
      </c>
      <c r="D516" s="329" t="s">
        <v>2649</v>
      </c>
      <c r="E516" s="329" t="s">
        <v>1120</v>
      </c>
      <c r="F516" s="329" t="s">
        <v>1307</v>
      </c>
      <c r="G516" s="329" t="s">
        <v>1433</v>
      </c>
    </row>
    <row r="517" spans="1:7" x14ac:dyDescent="0.25">
      <c r="A517" s="328" t="s">
        <v>1492</v>
      </c>
      <c r="B517" s="329" t="s">
        <v>2648</v>
      </c>
      <c r="C517" s="329" t="s">
        <v>1431</v>
      </c>
      <c r="D517" s="329" t="s">
        <v>2649</v>
      </c>
      <c r="E517" s="329" t="s">
        <v>2523</v>
      </c>
      <c r="F517" s="329" t="s">
        <v>1083</v>
      </c>
      <c r="G517" s="329" t="s">
        <v>1164</v>
      </c>
    </row>
    <row r="518" spans="1:7" x14ac:dyDescent="0.25">
      <c r="A518" s="328" t="s">
        <v>1493</v>
      </c>
      <c r="B518" s="329" t="s">
        <v>2648</v>
      </c>
      <c r="C518" s="329" t="s">
        <v>1431</v>
      </c>
      <c r="D518" s="329" t="s">
        <v>2649</v>
      </c>
      <c r="E518" s="329" t="s">
        <v>1148</v>
      </c>
      <c r="F518" s="329" t="s">
        <v>2650</v>
      </c>
      <c r="G518" s="329" t="s">
        <v>1165</v>
      </c>
    </row>
    <row r="519" spans="1:7" x14ac:dyDescent="0.25">
      <c r="A519" s="328" t="s">
        <v>1495</v>
      </c>
      <c r="B519" s="329" t="s">
        <v>2648</v>
      </c>
      <c r="C519" s="329" t="s">
        <v>1431</v>
      </c>
      <c r="D519" s="329" t="s">
        <v>2649</v>
      </c>
      <c r="E519" s="329" t="s">
        <v>1072</v>
      </c>
      <c r="F519" s="329" t="s">
        <v>2651</v>
      </c>
      <c r="G519" s="329" t="s">
        <v>1286</v>
      </c>
    </row>
    <row r="520" spans="1:7" x14ac:dyDescent="0.25">
      <c r="A520" s="328" t="s">
        <v>1496</v>
      </c>
      <c r="B520" s="329" t="s">
        <v>2648</v>
      </c>
      <c r="C520" s="329" t="s">
        <v>1431</v>
      </c>
      <c r="D520" s="329" t="s">
        <v>2649</v>
      </c>
      <c r="E520" s="329" t="s">
        <v>1289</v>
      </c>
      <c r="F520" s="329" t="s">
        <v>1152</v>
      </c>
      <c r="G520" s="329" t="s">
        <v>1275</v>
      </c>
    </row>
    <row r="521" spans="1:7" x14ac:dyDescent="0.25">
      <c r="A521" s="328" t="s">
        <v>1497</v>
      </c>
      <c r="B521" s="329" t="s">
        <v>2648</v>
      </c>
      <c r="C521" s="329" t="s">
        <v>1431</v>
      </c>
      <c r="D521" s="329" t="s">
        <v>2649</v>
      </c>
      <c r="E521" s="329" t="s">
        <v>1044</v>
      </c>
      <c r="F521" s="329" t="s">
        <v>2652</v>
      </c>
      <c r="G521" s="329" t="s">
        <v>1337</v>
      </c>
    </row>
    <row r="522" spans="1:7" x14ac:dyDescent="0.25">
      <c r="A522" s="328" t="s">
        <v>1498</v>
      </c>
      <c r="B522" s="329" t="s">
        <v>2648</v>
      </c>
      <c r="C522" s="329" t="s">
        <v>1431</v>
      </c>
      <c r="D522" s="329" t="s">
        <v>2649</v>
      </c>
      <c r="E522" s="329" t="s">
        <v>1168</v>
      </c>
      <c r="F522" s="329" t="s">
        <v>1149</v>
      </c>
      <c r="G522" s="329" t="s">
        <v>1137</v>
      </c>
    </row>
    <row r="523" spans="1:7" x14ac:dyDescent="0.25">
      <c r="A523" s="328" t="s">
        <v>1499</v>
      </c>
      <c r="B523" s="329" t="s">
        <v>2648</v>
      </c>
      <c r="C523" s="329" t="s">
        <v>1431</v>
      </c>
      <c r="D523" s="329" t="s">
        <v>2649</v>
      </c>
      <c r="E523" s="329" t="s">
        <v>1154</v>
      </c>
      <c r="F523" s="329" t="s">
        <v>1299</v>
      </c>
      <c r="G523" s="329" t="s">
        <v>2653</v>
      </c>
    </row>
    <row r="524" spans="1:7" x14ac:dyDescent="0.25">
      <c r="A524" s="328" t="s">
        <v>1500</v>
      </c>
      <c r="B524" s="329" t="s">
        <v>2648</v>
      </c>
      <c r="C524" s="329" t="s">
        <v>1431</v>
      </c>
      <c r="D524" s="329" t="s">
        <v>2649</v>
      </c>
      <c r="E524" s="329" t="s">
        <v>1079</v>
      </c>
      <c r="F524" s="329" t="s">
        <v>1077</v>
      </c>
      <c r="G524" s="329" t="s">
        <v>2654</v>
      </c>
    </row>
    <row r="525" spans="1:7" x14ac:dyDescent="0.25">
      <c r="A525" s="328" t="s">
        <v>1501</v>
      </c>
      <c r="B525" s="329" t="s">
        <v>2648</v>
      </c>
      <c r="C525" s="329" t="s">
        <v>1431</v>
      </c>
      <c r="D525" s="329" t="s">
        <v>2649</v>
      </c>
      <c r="E525" s="329" t="s">
        <v>1079</v>
      </c>
      <c r="F525" s="329" t="s">
        <v>1155</v>
      </c>
      <c r="G525" s="329" t="s">
        <v>2654</v>
      </c>
    </row>
    <row r="526" spans="1:7" x14ac:dyDescent="0.25">
      <c r="A526" s="328" t="s">
        <v>1502</v>
      </c>
      <c r="B526" s="329" t="s">
        <v>2648</v>
      </c>
      <c r="C526" s="329" t="s">
        <v>1431</v>
      </c>
      <c r="D526" s="329" t="s">
        <v>2649</v>
      </c>
      <c r="E526" s="329" t="s">
        <v>2551</v>
      </c>
      <c r="F526" s="329" t="s">
        <v>1167</v>
      </c>
      <c r="G526" s="329" t="s">
        <v>1302</v>
      </c>
    </row>
    <row r="527" spans="1:7" x14ac:dyDescent="0.25">
      <c r="A527" s="328" t="s">
        <v>1503</v>
      </c>
      <c r="B527" s="329" t="s">
        <v>2648</v>
      </c>
      <c r="C527" s="329" t="s">
        <v>1431</v>
      </c>
      <c r="D527" s="329" t="s">
        <v>2649</v>
      </c>
      <c r="E527" s="329" t="s">
        <v>1091</v>
      </c>
      <c r="F527" s="329" t="s">
        <v>1167</v>
      </c>
      <c r="G527" s="329" t="s">
        <v>1312</v>
      </c>
    </row>
    <row r="528" spans="1:7" x14ac:dyDescent="0.25">
      <c r="B528" s="327" t="s">
        <v>1016</v>
      </c>
      <c r="C528" s="327" t="s">
        <v>1017</v>
      </c>
      <c r="D528" s="327" t="s">
        <v>1018</v>
      </c>
      <c r="E528" s="327" t="s">
        <v>1019</v>
      </c>
      <c r="F528" s="327" t="s">
        <v>1020</v>
      </c>
      <c r="G528" s="327" t="s">
        <v>1021</v>
      </c>
    </row>
    <row r="529" spans="1:7" x14ac:dyDescent="0.25">
      <c r="A529" s="328" t="s">
        <v>1476</v>
      </c>
      <c r="B529" s="329" t="s">
        <v>1145</v>
      </c>
      <c r="C529" s="329" t="s">
        <v>2655</v>
      </c>
      <c r="D529" s="329" t="s">
        <v>1158</v>
      </c>
      <c r="E529" s="329" t="s">
        <v>2656</v>
      </c>
      <c r="F529" s="329" t="s">
        <v>1294</v>
      </c>
      <c r="G529" s="329" t="s">
        <v>2657</v>
      </c>
    </row>
    <row r="530" spans="1:7" x14ac:dyDescent="0.25">
      <c r="A530" s="328" t="s">
        <v>1477</v>
      </c>
      <c r="B530" s="329" t="s">
        <v>1308</v>
      </c>
      <c r="C530" s="329" t="s">
        <v>2658</v>
      </c>
      <c r="D530" s="329" t="s">
        <v>2266</v>
      </c>
      <c r="E530" s="329" t="s">
        <v>1423</v>
      </c>
      <c r="F530" s="329" t="s">
        <v>1445</v>
      </c>
      <c r="G530" s="329" t="s">
        <v>1143</v>
      </c>
    </row>
    <row r="531" spans="1:7" x14ac:dyDescent="0.25">
      <c r="A531" s="328" t="s">
        <v>1478</v>
      </c>
      <c r="B531" s="329" t="s">
        <v>2659</v>
      </c>
      <c r="C531" s="329" t="s">
        <v>2660</v>
      </c>
      <c r="D531" s="329" t="s">
        <v>1452</v>
      </c>
      <c r="E531" s="329" t="s">
        <v>1423</v>
      </c>
      <c r="F531" s="329" t="s">
        <v>1142</v>
      </c>
      <c r="G531" s="329" t="s">
        <v>1117</v>
      </c>
    </row>
    <row r="532" spans="1:7" x14ac:dyDescent="0.25">
      <c r="A532" s="328" t="s">
        <v>1479</v>
      </c>
      <c r="B532" s="329" t="s">
        <v>2661</v>
      </c>
      <c r="C532" s="329" t="s">
        <v>2662</v>
      </c>
      <c r="D532" s="329" t="s">
        <v>2663</v>
      </c>
      <c r="E532" s="329" t="s">
        <v>1423</v>
      </c>
      <c r="F532" s="329" t="s">
        <v>1296</v>
      </c>
      <c r="G532" s="329" t="s">
        <v>1434</v>
      </c>
    </row>
    <row r="533" spans="1:7" x14ac:dyDescent="0.25">
      <c r="A533" s="328" t="s">
        <v>1480</v>
      </c>
      <c r="B533" s="329" t="s">
        <v>1287</v>
      </c>
      <c r="C533" s="329" t="s">
        <v>1158</v>
      </c>
      <c r="D533" s="329" t="s">
        <v>2664</v>
      </c>
      <c r="E533" s="329" t="s">
        <v>1423</v>
      </c>
      <c r="F533" s="329" t="s">
        <v>2665</v>
      </c>
      <c r="G533" s="329" t="s">
        <v>2666</v>
      </c>
    </row>
    <row r="534" spans="1:7" x14ac:dyDescent="0.25">
      <c r="A534" s="328" t="s">
        <v>1481</v>
      </c>
      <c r="B534" s="329" t="s">
        <v>2667</v>
      </c>
      <c r="C534" s="329" t="s">
        <v>2668</v>
      </c>
      <c r="D534" s="329" t="s">
        <v>2669</v>
      </c>
      <c r="E534" s="329" t="s">
        <v>1423</v>
      </c>
      <c r="F534" s="329" t="s">
        <v>1300</v>
      </c>
      <c r="G534" s="329" t="s">
        <v>2670</v>
      </c>
    </row>
    <row r="535" spans="1:7" x14ac:dyDescent="0.25">
      <c r="A535" s="328" t="s">
        <v>1482</v>
      </c>
      <c r="B535" s="329" t="s">
        <v>1267</v>
      </c>
      <c r="C535" s="329" t="s">
        <v>1391</v>
      </c>
      <c r="D535" s="329" t="s">
        <v>2671</v>
      </c>
      <c r="E535" s="329" t="s">
        <v>1423</v>
      </c>
      <c r="F535" s="329" t="s">
        <v>2672</v>
      </c>
      <c r="G535" s="329" t="s">
        <v>1105</v>
      </c>
    </row>
    <row r="536" spans="1:7" x14ac:dyDescent="0.25">
      <c r="A536" s="328" t="s">
        <v>1483</v>
      </c>
      <c r="B536" s="329" t="s">
        <v>1309</v>
      </c>
      <c r="C536" s="329" t="s">
        <v>2673</v>
      </c>
      <c r="D536" s="329" t="s">
        <v>2674</v>
      </c>
      <c r="E536" s="329" t="s">
        <v>1423</v>
      </c>
      <c r="F536" s="329" t="s">
        <v>1316</v>
      </c>
      <c r="G536" s="329" t="s">
        <v>1170</v>
      </c>
    </row>
    <row r="537" spans="1:7" x14ac:dyDescent="0.25">
      <c r="A537" s="328" t="s">
        <v>1484</v>
      </c>
      <c r="B537" s="329" t="s">
        <v>2675</v>
      </c>
      <c r="C537" s="329" t="s">
        <v>2676</v>
      </c>
      <c r="D537" s="329" t="s">
        <v>1253</v>
      </c>
      <c r="E537" s="329" t="s">
        <v>1423</v>
      </c>
      <c r="F537" s="329" t="s">
        <v>1313</v>
      </c>
      <c r="G537" s="329" t="s">
        <v>1090</v>
      </c>
    </row>
    <row r="538" spans="1:7" x14ac:dyDescent="0.25">
      <c r="A538" s="328" t="s">
        <v>1485</v>
      </c>
      <c r="B538" s="329" t="s">
        <v>2677</v>
      </c>
      <c r="C538" s="329" t="s">
        <v>2676</v>
      </c>
      <c r="D538" s="329" t="s">
        <v>1253</v>
      </c>
      <c r="E538" s="329" t="s">
        <v>1423</v>
      </c>
      <c r="F538" s="329" t="s">
        <v>1449</v>
      </c>
      <c r="G538" s="329" t="s">
        <v>2588</v>
      </c>
    </row>
    <row r="539" spans="1:7" x14ac:dyDescent="0.25">
      <c r="A539" s="328" t="s">
        <v>1486</v>
      </c>
      <c r="B539" s="329" t="s">
        <v>1304</v>
      </c>
      <c r="C539" s="329" t="s">
        <v>2676</v>
      </c>
      <c r="D539" s="329" t="s">
        <v>1253</v>
      </c>
      <c r="E539" s="329" t="s">
        <v>1423</v>
      </c>
      <c r="F539" s="329" t="s">
        <v>1449</v>
      </c>
      <c r="G539" s="329" t="s">
        <v>2588</v>
      </c>
    </row>
    <row r="540" spans="1:7" x14ac:dyDescent="0.25">
      <c r="A540" s="328" t="s">
        <v>1488</v>
      </c>
      <c r="B540" s="329" t="s">
        <v>1189</v>
      </c>
      <c r="C540" s="329" t="s">
        <v>2678</v>
      </c>
      <c r="D540" s="329" t="s">
        <v>2679</v>
      </c>
      <c r="E540" s="329" t="s">
        <v>1423</v>
      </c>
      <c r="F540" s="329" t="s">
        <v>2680</v>
      </c>
      <c r="G540" s="329" t="s">
        <v>1300</v>
      </c>
    </row>
    <row r="541" spans="1:7" x14ac:dyDescent="0.25">
      <c r="A541" s="328" t="s">
        <v>1489</v>
      </c>
      <c r="B541" s="329" t="s">
        <v>1189</v>
      </c>
      <c r="C541" s="329" t="s">
        <v>1448</v>
      </c>
      <c r="D541" s="329" t="s">
        <v>2681</v>
      </c>
      <c r="E541" s="329" t="s">
        <v>1423</v>
      </c>
      <c r="F541" s="329" t="s">
        <v>2682</v>
      </c>
      <c r="G541" s="329" t="s">
        <v>2683</v>
      </c>
    </row>
    <row r="542" spans="1:7" x14ac:dyDescent="0.25">
      <c r="A542" s="328" t="s">
        <v>1491</v>
      </c>
      <c r="B542" s="329" t="s">
        <v>1092</v>
      </c>
      <c r="C542" s="329" t="s">
        <v>2684</v>
      </c>
      <c r="D542" s="329" t="s">
        <v>2511</v>
      </c>
      <c r="E542" s="329" t="s">
        <v>1258</v>
      </c>
      <c r="F542" s="329" t="s">
        <v>2685</v>
      </c>
      <c r="G542" s="329" t="s">
        <v>1147</v>
      </c>
    </row>
    <row r="543" spans="1:7" x14ac:dyDescent="0.25">
      <c r="A543" s="328" t="s">
        <v>1492</v>
      </c>
      <c r="B543" s="329" t="s">
        <v>1190</v>
      </c>
      <c r="C543" s="329" t="s">
        <v>1443</v>
      </c>
      <c r="D543" s="329" t="s">
        <v>2686</v>
      </c>
      <c r="E543" s="329" t="s">
        <v>1258</v>
      </c>
      <c r="F543" s="329" t="s">
        <v>2567</v>
      </c>
      <c r="G543" s="329" t="s">
        <v>1337</v>
      </c>
    </row>
    <row r="544" spans="1:7" x14ac:dyDescent="0.25">
      <c r="A544" s="328" t="s">
        <v>1493</v>
      </c>
      <c r="B544" s="329" t="s">
        <v>1314</v>
      </c>
      <c r="C544" s="329" t="s">
        <v>2280</v>
      </c>
      <c r="D544" s="329" t="s">
        <v>2687</v>
      </c>
      <c r="E544" s="329" t="s">
        <v>1258</v>
      </c>
      <c r="F544" s="329" t="s">
        <v>1078</v>
      </c>
      <c r="G544" s="329" t="s">
        <v>1774</v>
      </c>
    </row>
    <row r="545" spans="1:7" x14ac:dyDescent="0.25">
      <c r="A545" s="328" t="s">
        <v>1495</v>
      </c>
      <c r="B545" s="329" t="s">
        <v>1301</v>
      </c>
      <c r="C545" s="329" t="s">
        <v>2688</v>
      </c>
      <c r="D545" s="329" t="s">
        <v>2292</v>
      </c>
      <c r="E545" s="329" t="s">
        <v>1258</v>
      </c>
      <c r="F545" s="329" t="s">
        <v>1417</v>
      </c>
      <c r="G545" s="329" t="s">
        <v>2647</v>
      </c>
    </row>
    <row r="546" spans="1:7" x14ac:dyDescent="0.25">
      <c r="A546" s="328" t="s">
        <v>1496</v>
      </c>
      <c r="B546" s="329" t="s">
        <v>2689</v>
      </c>
      <c r="C546" s="329" t="s">
        <v>1311</v>
      </c>
      <c r="D546" s="329" t="s">
        <v>2690</v>
      </c>
      <c r="E546" s="329" t="s">
        <v>1258</v>
      </c>
      <c r="F546" s="329" t="s">
        <v>1051</v>
      </c>
      <c r="G546" s="329" t="s">
        <v>1298</v>
      </c>
    </row>
    <row r="547" spans="1:7" x14ac:dyDescent="0.25">
      <c r="A547" s="328" t="s">
        <v>1497</v>
      </c>
      <c r="B547" s="329" t="s">
        <v>1085</v>
      </c>
      <c r="C547" s="329" t="s">
        <v>2691</v>
      </c>
      <c r="D547" s="329" t="s">
        <v>2692</v>
      </c>
      <c r="E547" s="329" t="s">
        <v>1258</v>
      </c>
      <c r="F547" s="329" t="s">
        <v>1169</v>
      </c>
      <c r="G547" s="329" t="s">
        <v>2693</v>
      </c>
    </row>
    <row r="548" spans="1:7" x14ac:dyDescent="0.25">
      <c r="A548" s="328" t="s">
        <v>1498</v>
      </c>
      <c r="B548" s="329" t="s">
        <v>1284</v>
      </c>
      <c r="C548" s="329" t="s">
        <v>2694</v>
      </c>
      <c r="D548" s="329" t="s">
        <v>2695</v>
      </c>
      <c r="E548" s="329" t="s">
        <v>1258</v>
      </c>
      <c r="F548" s="329" t="s">
        <v>2696</v>
      </c>
      <c r="G548" s="329" t="s">
        <v>1114</v>
      </c>
    </row>
    <row r="549" spans="1:7" x14ac:dyDescent="0.25">
      <c r="A549" s="328" t="s">
        <v>1499</v>
      </c>
      <c r="B549" s="329" t="s">
        <v>1450</v>
      </c>
      <c r="C549" s="329" t="s">
        <v>2697</v>
      </c>
      <c r="D549" s="329" t="s">
        <v>2266</v>
      </c>
      <c r="E549" s="329" t="s">
        <v>1258</v>
      </c>
      <c r="F549" s="329" t="s">
        <v>2587</v>
      </c>
      <c r="G549" s="329" t="s">
        <v>1114</v>
      </c>
    </row>
    <row r="550" spans="1:7" x14ac:dyDescent="0.25">
      <c r="A550" s="328" t="s">
        <v>1500</v>
      </c>
      <c r="B550" s="329" t="s">
        <v>1190</v>
      </c>
      <c r="C550" s="329" t="s">
        <v>2697</v>
      </c>
      <c r="D550" s="329" t="s">
        <v>2266</v>
      </c>
      <c r="E550" s="329" t="s">
        <v>1258</v>
      </c>
      <c r="F550" s="329" t="s">
        <v>1078</v>
      </c>
      <c r="G550" s="329" t="s">
        <v>2698</v>
      </c>
    </row>
    <row r="551" spans="1:7" x14ac:dyDescent="0.25">
      <c r="A551" s="328" t="s">
        <v>1501</v>
      </c>
      <c r="B551" s="329" t="s">
        <v>1436</v>
      </c>
      <c r="C551" s="329" t="s">
        <v>2699</v>
      </c>
      <c r="D551" s="329" t="s">
        <v>2700</v>
      </c>
      <c r="E551" s="329" t="s">
        <v>1258</v>
      </c>
      <c r="F551" s="329" t="s">
        <v>1078</v>
      </c>
      <c r="G551" s="329" t="s">
        <v>1103</v>
      </c>
    </row>
    <row r="552" spans="1:7" x14ac:dyDescent="0.25">
      <c r="A552" s="328" t="s">
        <v>1502</v>
      </c>
      <c r="B552" s="329" t="s">
        <v>1453</v>
      </c>
      <c r="C552" s="329" t="s">
        <v>2701</v>
      </c>
      <c r="D552" s="329" t="s">
        <v>2702</v>
      </c>
      <c r="E552" s="329" t="s">
        <v>1258</v>
      </c>
      <c r="F552" s="329" t="s">
        <v>1078</v>
      </c>
      <c r="G552" s="329" t="s">
        <v>1337</v>
      </c>
    </row>
    <row r="553" spans="1:7" x14ac:dyDescent="0.25">
      <c r="A553" s="328" t="s">
        <v>1503</v>
      </c>
      <c r="B553" s="329" t="s">
        <v>2703</v>
      </c>
      <c r="C553" s="329" t="s">
        <v>1269</v>
      </c>
      <c r="D553" s="329" t="s">
        <v>2704</v>
      </c>
      <c r="E553" s="329" t="s">
        <v>1258</v>
      </c>
      <c r="F553" s="329" t="s">
        <v>1157</v>
      </c>
      <c r="G553" s="329" t="s">
        <v>1427</v>
      </c>
    </row>
    <row r="554" spans="1:7" x14ac:dyDescent="0.25">
      <c r="B554" s="327" t="s">
        <v>1021</v>
      </c>
    </row>
    <row r="555" spans="1:7" x14ac:dyDescent="0.25">
      <c r="A555" s="328" t="s">
        <v>1476</v>
      </c>
      <c r="B555" s="329" t="s">
        <v>2647</v>
      </c>
    </row>
    <row r="556" spans="1:7" x14ac:dyDescent="0.25">
      <c r="A556" s="328" t="s">
        <v>1477</v>
      </c>
      <c r="B556" s="329" t="s">
        <v>2705</v>
      </c>
    </row>
    <row r="557" spans="1:7" x14ac:dyDescent="0.25">
      <c r="A557" s="328" t="s">
        <v>1478</v>
      </c>
      <c r="B557" s="329" t="s">
        <v>2706</v>
      </c>
    </row>
    <row r="558" spans="1:7" x14ac:dyDescent="0.25">
      <c r="A558" s="328" t="s">
        <v>1479</v>
      </c>
      <c r="B558" s="329" t="s">
        <v>2707</v>
      </c>
    </row>
    <row r="559" spans="1:7" x14ac:dyDescent="0.25">
      <c r="A559" s="328" t="s">
        <v>1480</v>
      </c>
      <c r="B559" s="329" t="s">
        <v>1071</v>
      </c>
    </row>
    <row r="560" spans="1:7" x14ac:dyDescent="0.25">
      <c r="A560" s="328" t="s">
        <v>1481</v>
      </c>
      <c r="B560" s="329" t="s">
        <v>1106</v>
      </c>
    </row>
    <row r="561" spans="1:2" x14ac:dyDescent="0.25">
      <c r="A561" s="328" t="s">
        <v>1482</v>
      </c>
      <c r="B561" s="329" t="s">
        <v>1110</v>
      </c>
    </row>
    <row r="562" spans="1:2" x14ac:dyDescent="0.25">
      <c r="A562" s="328" t="s">
        <v>1483</v>
      </c>
      <c r="B562" s="329" t="s">
        <v>2643</v>
      </c>
    </row>
    <row r="563" spans="1:2" x14ac:dyDescent="0.25">
      <c r="A563" s="328" t="s">
        <v>1484</v>
      </c>
      <c r="B563" s="329" t="s">
        <v>1070</v>
      </c>
    </row>
    <row r="564" spans="1:2" x14ac:dyDescent="0.25">
      <c r="A564" s="328" t="s">
        <v>1485</v>
      </c>
      <c r="B564" s="329" t="s">
        <v>1084</v>
      </c>
    </row>
    <row r="565" spans="1:2" x14ac:dyDescent="0.25">
      <c r="A565" s="328" t="s">
        <v>1486</v>
      </c>
      <c r="B565" s="329" t="s">
        <v>1084</v>
      </c>
    </row>
    <row r="566" spans="1:2" x14ac:dyDescent="0.25">
      <c r="A566" s="328" t="s">
        <v>1488</v>
      </c>
      <c r="B566" s="329" t="s">
        <v>1290</v>
      </c>
    </row>
    <row r="567" spans="1:2" x14ac:dyDescent="0.25">
      <c r="A567" s="328" t="s">
        <v>1489</v>
      </c>
      <c r="B567" s="329" t="s">
        <v>1348</v>
      </c>
    </row>
    <row r="568" spans="1:2" x14ac:dyDescent="0.25">
      <c r="A568" s="328" t="s">
        <v>1491</v>
      </c>
      <c r="B568" s="329" t="s">
        <v>1110</v>
      </c>
    </row>
    <row r="569" spans="1:2" x14ac:dyDescent="0.25">
      <c r="A569" s="328" t="s">
        <v>1492</v>
      </c>
      <c r="B569" s="329" t="s">
        <v>2580</v>
      </c>
    </row>
    <row r="570" spans="1:2" x14ac:dyDescent="0.25">
      <c r="A570" s="328" t="s">
        <v>1493</v>
      </c>
      <c r="B570" s="329" t="s">
        <v>2580</v>
      </c>
    </row>
    <row r="571" spans="1:2" x14ac:dyDescent="0.25">
      <c r="A571" s="328" t="s">
        <v>1495</v>
      </c>
      <c r="B571" s="329" t="s">
        <v>1118</v>
      </c>
    </row>
    <row r="572" spans="1:2" x14ac:dyDescent="0.25">
      <c r="A572" s="328" t="s">
        <v>1496</v>
      </c>
      <c r="B572" s="329" t="s">
        <v>1156</v>
      </c>
    </row>
    <row r="573" spans="1:2" x14ac:dyDescent="0.25">
      <c r="A573" s="328" t="s">
        <v>1497</v>
      </c>
      <c r="B573" s="329" t="s">
        <v>1144</v>
      </c>
    </row>
    <row r="574" spans="1:2" x14ac:dyDescent="0.25">
      <c r="A574" s="328" t="s">
        <v>1498</v>
      </c>
      <c r="B574" s="329" t="s">
        <v>1194</v>
      </c>
    </row>
    <row r="575" spans="1:2" x14ac:dyDescent="0.25">
      <c r="A575" s="328" t="s">
        <v>1499</v>
      </c>
      <c r="B575" s="329" t="s">
        <v>2708</v>
      </c>
    </row>
    <row r="576" spans="1:2" x14ac:dyDescent="0.25">
      <c r="A576" s="328" t="s">
        <v>1500</v>
      </c>
      <c r="B576" s="329" t="s">
        <v>2708</v>
      </c>
    </row>
    <row r="577" spans="1:3" x14ac:dyDescent="0.25">
      <c r="A577" s="328" t="s">
        <v>1501</v>
      </c>
      <c r="B577" s="329" t="s">
        <v>2708</v>
      </c>
    </row>
    <row r="578" spans="1:3" x14ac:dyDescent="0.25">
      <c r="A578" s="328" t="s">
        <v>1502</v>
      </c>
      <c r="B578" s="329" t="s">
        <v>2708</v>
      </c>
    </row>
    <row r="579" spans="1:3" x14ac:dyDescent="0.25">
      <c r="A579" s="328" t="s">
        <v>1503</v>
      </c>
      <c r="B579" s="329" t="s">
        <v>2709</v>
      </c>
    </row>
    <row r="580" spans="1:3" x14ac:dyDescent="0.25">
      <c r="A580" s="330" t="s">
        <v>919</v>
      </c>
      <c r="B580" s="330" t="s">
        <v>992</v>
      </c>
    </row>
    <row r="581" spans="1:3" x14ac:dyDescent="0.25">
      <c r="A581" s="331" t="s">
        <v>1469</v>
      </c>
    </row>
    <row r="582" spans="1:3" x14ac:dyDescent="0.25">
      <c r="A582" s="331" t="s">
        <v>1470</v>
      </c>
    </row>
    <row r="583" spans="1:3" x14ac:dyDescent="0.25">
      <c r="A583" s="331" t="s">
        <v>1464</v>
      </c>
    </row>
    <row r="584" spans="1:3" x14ac:dyDescent="0.25">
      <c r="A584" s="331" t="s">
        <v>1466</v>
      </c>
    </row>
    <row r="585" spans="1:3" x14ac:dyDescent="0.25">
      <c r="A585" s="331" t="s">
        <v>1471</v>
      </c>
    </row>
    <row r="586" spans="1:3" x14ac:dyDescent="0.25">
      <c r="A586" s="331" t="s">
        <v>1472</v>
      </c>
    </row>
    <row r="587" spans="1:3" x14ac:dyDescent="0.25">
      <c r="A587" s="331" t="s">
        <v>1473</v>
      </c>
    </row>
    <row r="588" spans="1:3" x14ac:dyDescent="0.25">
      <c r="A588" s="331" t="s">
        <v>1474</v>
      </c>
    </row>
    <row r="589" spans="1:3" x14ac:dyDescent="0.25">
      <c r="A589" s="332">
        <v>1</v>
      </c>
      <c r="B589" s="333" t="s">
        <v>920</v>
      </c>
      <c r="C589" s="334" t="s">
        <v>958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1371600</xdr:colOff>
                <xdr:row>2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J69"/>
  <sheetViews>
    <sheetView zoomScale="90" zoomScaleNormal="90" workbookViewId="0">
      <selection activeCell="D22" sqref="D22"/>
    </sheetView>
  </sheetViews>
  <sheetFormatPr defaultRowHeight="15" x14ac:dyDescent="0.25"/>
  <cols>
    <col min="1" max="1" width="54.42578125" style="42" customWidth="1"/>
    <col min="2" max="2" width="12.42578125" style="42" customWidth="1"/>
    <col min="3" max="3" width="23.140625" style="42" customWidth="1"/>
    <col min="4" max="4" width="33" style="42" bestFit="1" customWidth="1"/>
    <col min="5" max="5" width="43.7109375" style="42" customWidth="1"/>
    <col min="6" max="16384" width="9.140625" style="42"/>
  </cols>
  <sheetData>
    <row r="1" spans="1:10" ht="79.5" customHeight="1" thickBot="1" x14ac:dyDescent="0.35">
      <c r="A1" s="341" t="s">
        <v>251</v>
      </c>
      <c r="B1" s="342"/>
      <c r="C1" s="343"/>
      <c r="D1" s="344"/>
      <c r="E1" s="46"/>
    </row>
    <row r="2" spans="1:10" ht="31.5" customHeight="1" thickBot="1" x14ac:dyDescent="0.3">
      <c r="A2" s="192" t="s">
        <v>884</v>
      </c>
      <c r="B2" s="192" t="s">
        <v>861</v>
      </c>
      <c r="C2" s="204" t="s">
        <v>1476</v>
      </c>
      <c r="D2" s="205" t="s">
        <v>1503</v>
      </c>
      <c r="E2" s="194"/>
    </row>
    <row r="3" spans="1:10" x14ac:dyDescent="0.25">
      <c r="A3" s="252" t="s">
        <v>252</v>
      </c>
      <c r="B3" s="48" t="s">
        <v>253</v>
      </c>
      <c r="C3" s="49" t="s">
        <v>254</v>
      </c>
      <c r="E3" s="306"/>
      <c r="F3" s="306"/>
      <c r="G3" s="306"/>
    </row>
    <row r="4" spans="1:10" x14ac:dyDescent="0.25">
      <c r="A4" s="50" t="s">
        <v>255</v>
      </c>
      <c r="B4" s="44" t="s">
        <v>1</v>
      </c>
      <c r="C4" s="340">
        <v>13.48</v>
      </c>
      <c r="E4" s="337"/>
      <c r="F4" s="338"/>
      <c r="G4" s="338"/>
      <c r="H4" s="336"/>
      <c r="I4" s="336"/>
    </row>
    <row r="5" spans="1:10" ht="15.75" x14ac:dyDescent="0.25">
      <c r="A5" s="50" t="s">
        <v>256</v>
      </c>
      <c r="B5" s="44" t="s">
        <v>1</v>
      </c>
      <c r="C5" s="340">
        <v>41.443637497401788</v>
      </c>
      <c r="D5" s="336"/>
      <c r="E5" s="339"/>
      <c r="F5" s="339"/>
      <c r="G5" s="339"/>
      <c r="H5" s="339"/>
      <c r="I5" s="312"/>
      <c r="J5" s="312"/>
    </row>
    <row r="6" spans="1:10" x14ac:dyDescent="0.25">
      <c r="A6" s="50" t="s">
        <v>257</v>
      </c>
      <c r="B6" s="44" t="s">
        <v>1</v>
      </c>
      <c r="C6" s="340">
        <v>19.23366036167117</v>
      </c>
      <c r="D6" s="149"/>
      <c r="E6" s="149"/>
      <c r="F6" s="149"/>
      <c r="G6" s="149"/>
      <c r="H6" s="149"/>
    </row>
    <row r="7" spans="1:10" x14ac:dyDescent="0.25">
      <c r="A7" s="50" t="s">
        <v>258</v>
      </c>
      <c r="B7" s="44" t="s">
        <v>1</v>
      </c>
      <c r="C7" s="340">
        <v>25.842702140927038</v>
      </c>
      <c r="D7" s="306"/>
      <c r="E7" s="307"/>
    </row>
    <row r="8" spans="1:10" x14ac:dyDescent="0.25">
      <c r="A8" s="50" t="s">
        <v>259</v>
      </c>
      <c r="B8" s="44" t="s">
        <v>260</v>
      </c>
      <c r="C8" s="340">
        <v>3110.2959883600083</v>
      </c>
      <c r="D8" s="306"/>
      <c r="E8" s="307"/>
      <c r="F8" s="307"/>
    </row>
    <row r="9" spans="1:10" x14ac:dyDescent="0.25">
      <c r="A9" s="50" t="s">
        <v>261</v>
      </c>
      <c r="B9" s="44" t="s">
        <v>1</v>
      </c>
      <c r="C9" s="340">
        <v>2.5099999999999998</v>
      </c>
      <c r="E9" s="306"/>
      <c r="F9" s="307"/>
      <c r="G9" s="307"/>
    </row>
    <row r="10" spans="1:10" x14ac:dyDescent="0.25">
      <c r="A10" s="50" t="s">
        <v>262</v>
      </c>
      <c r="B10" s="44" t="s">
        <v>1</v>
      </c>
      <c r="C10" s="52">
        <v>10</v>
      </c>
    </row>
    <row r="11" spans="1:10" x14ac:dyDescent="0.25">
      <c r="A11" s="50" t="s">
        <v>263</v>
      </c>
      <c r="B11" s="44" t="s">
        <v>1</v>
      </c>
      <c r="C11" s="51">
        <v>0.74</v>
      </c>
    </row>
    <row r="12" spans="1:10" x14ac:dyDescent="0.25">
      <c r="A12" s="50" t="s">
        <v>264</v>
      </c>
      <c r="B12" s="44" t="s">
        <v>1</v>
      </c>
      <c r="C12" s="52">
        <v>90</v>
      </c>
    </row>
    <row r="13" spans="1:10" x14ac:dyDescent="0.25">
      <c r="A13" s="50" t="s">
        <v>265</v>
      </c>
      <c r="B13" s="44" t="s">
        <v>266</v>
      </c>
      <c r="C13" s="52">
        <v>1040</v>
      </c>
    </row>
    <row r="14" spans="1:10" s="1" customFormat="1" x14ac:dyDescent="0.25">
      <c r="A14" s="53"/>
      <c r="C14" s="54"/>
    </row>
    <row r="15" spans="1:10" x14ac:dyDescent="0.25">
      <c r="A15" s="50" t="s">
        <v>267</v>
      </c>
      <c r="B15" s="44" t="s">
        <v>268</v>
      </c>
      <c r="C15" s="52">
        <v>20</v>
      </c>
      <c r="F15" s="55"/>
      <c r="G15" s="56"/>
    </row>
    <row r="16" spans="1:10" x14ac:dyDescent="0.25">
      <c r="A16" s="50" t="s">
        <v>269</v>
      </c>
      <c r="B16" s="44" t="s">
        <v>270</v>
      </c>
      <c r="C16" s="57">
        <f>F16</f>
        <v>201.29679999999996</v>
      </c>
      <c r="D16" s="58" t="s">
        <v>271</v>
      </c>
      <c r="E16" s="59" t="s">
        <v>272</v>
      </c>
      <c r="F16" s="60">
        <v>201.29679999999996</v>
      </c>
      <c r="G16" s="61"/>
    </row>
    <row r="17" spans="1:7" x14ac:dyDescent="0.25">
      <c r="A17" s="50" t="s">
        <v>273</v>
      </c>
      <c r="B17" s="44" t="s">
        <v>268</v>
      </c>
      <c r="C17" s="62">
        <v>20</v>
      </c>
      <c r="D17" s="58" t="s">
        <v>274</v>
      </c>
      <c r="E17" s="63" t="s">
        <v>275</v>
      </c>
      <c r="F17" s="60">
        <v>270.72959999999995</v>
      </c>
      <c r="G17" s="61"/>
    </row>
    <row r="18" spans="1:7" x14ac:dyDescent="0.25">
      <c r="A18" s="50" t="s">
        <v>276</v>
      </c>
      <c r="B18" s="44" t="s">
        <v>277</v>
      </c>
      <c r="C18" s="57">
        <f>F17</f>
        <v>270.72959999999995</v>
      </c>
      <c r="D18" s="58" t="s">
        <v>278</v>
      </c>
      <c r="E18" s="63" t="s">
        <v>279</v>
      </c>
      <c r="F18" s="60">
        <v>355.32760000000002</v>
      </c>
      <c r="G18" s="61"/>
    </row>
    <row r="19" spans="1:7" x14ac:dyDescent="0.25">
      <c r="A19" s="50" t="s">
        <v>280</v>
      </c>
      <c r="B19" s="44" t="s">
        <v>281</v>
      </c>
      <c r="C19" s="64">
        <v>17000</v>
      </c>
      <c r="D19" s="58" t="s">
        <v>282</v>
      </c>
      <c r="E19" s="63" t="s">
        <v>283</v>
      </c>
      <c r="F19" s="60">
        <v>338.41479999999979</v>
      </c>
      <c r="G19" s="61"/>
    </row>
    <row r="20" spans="1:7" x14ac:dyDescent="0.25">
      <c r="A20" s="50" t="s">
        <v>284</v>
      </c>
      <c r="B20" s="44" t="s">
        <v>268</v>
      </c>
      <c r="C20" s="65">
        <v>298</v>
      </c>
      <c r="D20" s="58" t="s">
        <v>285</v>
      </c>
      <c r="E20" s="63" t="s">
        <v>286</v>
      </c>
      <c r="F20" s="60">
        <v>296.71679999999992</v>
      </c>
      <c r="G20" s="61"/>
    </row>
    <row r="21" spans="1:7" x14ac:dyDescent="0.25">
      <c r="A21" s="50" t="s">
        <v>287</v>
      </c>
      <c r="B21" s="44" t="s">
        <v>270</v>
      </c>
      <c r="C21" s="62">
        <v>0</v>
      </c>
      <c r="D21" s="58" t="s">
        <v>288</v>
      </c>
      <c r="E21" s="63" t="s">
        <v>289</v>
      </c>
      <c r="F21" s="60">
        <v>288.95839999999981</v>
      </c>
      <c r="G21" s="61"/>
    </row>
    <row r="22" spans="1:7" x14ac:dyDescent="0.25">
      <c r="A22" s="50" t="s">
        <v>290</v>
      </c>
      <c r="B22" s="44" t="s">
        <v>260</v>
      </c>
      <c r="C22" s="62">
        <v>1129</v>
      </c>
      <c r="D22" s="58" t="s">
        <v>291</v>
      </c>
      <c r="E22" s="63" t="s">
        <v>292</v>
      </c>
      <c r="F22" s="60">
        <v>303.99840000000017</v>
      </c>
      <c r="G22" s="61"/>
    </row>
    <row r="23" spans="1:7" x14ac:dyDescent="0.25">
      <c r="A23" s="50" t="s">
        <v>293</v>
      </c>
      <c r="B23" s="44" t="s">
        <v>1</v>
      </c>
      <c r="C23" s="62">
        <v>87.48</v>
      </c>
      <c r="D23" s="58" t="s">
        <v>294</v>
      </c>
      <c r="E23" s="63" t="s">
        <v>295</v>
      </c>
      <c r="F23" s="60">
        <v>279.92840000000001</v>
      </c>
      <c r="G23" s="61"/>
    </row>
    <row r="24" spans="1:7" x14ac:dyDescent="0.25">
      <c r="A24" s="50"/>
      <c r="B24" s="44"/>
      <c r="C24" s="52"/>
      <c r="D24" s="58" t="s">
        <v>296</v>
      </c>
      <c r="E24" s="63" t="s">
        <v>297</v>
      </c>
      <c r="F24" s="60">
        <v>406.69599999999997</v>
      </c>
      <c r="G24" s="61"/>
    </row>
    <row r="25" spans="1:7" x14ac:dyDescent="0.25">
      <c r="A25" s="50" t="s">
        <v>298</v>
      </c>
      <c r="B25" s="44" t="s">
        <v>266</v>
      </c>
      <c r="C25" s="57">
        <f>AVERAGE(F18:F19)</f>
        <v>346.87119999999993</v>
      </c>
      <c r="D25" s="58" t="s">
        <v>299</v>
      </c>
      <c r="E25" s="63" t="s">
        <v>300</v>
      </c>
      <c r="F25" s="60">
        <v>693.20920000000001</v>
      </c>
      <c r="G25" s="61"/>
    </row>
    <row r="26" spans="1:7" x14ac:dyDescent="0.25">
      <c r="A26" s="50" t="s">
        <v>301</v>
      </c>
      <c r="B26" s="44" t="s">
        <v>266</v>
      </c>
      <c r="C26" s="57">
        <f>AVERAGE(F20:F21)</f>
        <v>292.83759999999984</v>
      </c>
      <c r="D26" s="58" t="s">
        <v>302</v>
      </c>
      <c r="E26" s="63" t="s">
        <v>303</v>
      </c>
      <c r="F26" s="60">
        <v>2.5728000000000004</v>
      </c>
      <c r="G26" s="61"/>
    </row>
    <row r="27" spans="1:7" x14ac:dyDescent="0.25">
      <c r="A27" s="50" t="s">
        <v>304</v>
      </c>
      <c r="B27" s="44" t="s">
        <v>266</v>
      </c>
      <c r="C27" s="57">
        <f>AVERAGE(F22:F23)</f>
        <v>291.96340000000009</v>
      </c>
      <c r="D27" s="58" t="s">
        <v>305</v>
      </c>
      <c r="E27" s="63" t="s">
        <v>306</v>
      </c>
      <c r="F27" s="60">
        <v>2.4892000000000003</v>
      </c>
      <c r="G27" s="61"/>
    </row>
    <row r="28" spans="1:7" x14ac:dyDescent="0.25">
      <c r="A28" s="50" t="s">
        <v>307</v>
      </c>
      <c r="B28" s="44" t="s">
        <v>270</v>
      </c>
      <c r="C28" s="57">
        <f>F24</f>
        <v>406.69599999999997</v>
      </c>
      <c r="D28" s="58" t="s">
        <v>308</v>
      </c>
      <c r="E28" s="63" t="s">
        <v>309</v>
      </c>
      <c r="F28" s="60">
        <v>144.53040000000001</v>
      </c>
      <c r="G28" s="61"/>
    </row>
    <row r="29" spans="1:7" x14ac:dyDescent="0.25">
      <c r="A29" s="50" t="s">
        <v>310</v>
      </c>
      <c r="B29" s="44" t="s">
        <v>270</v>
      </c>
      <c r="C29" s="57">
        <f>F25</f>
        <v>693.20920000000001</v>
      </c>
      <c r="D29" s="58" t="s">
        <v>311</v>
      </c>
      <c r="E29" s="63" t="s">
        <v>312</v>
      </c>
      <c r="F29" s="60">
        <v>148.04359999999997</v>
      </c>
      <c r="G29" s="61"/>
    </row>
    <row r="30" spans="1:7" x14ac:dyDescent="0.25">
      <c r="A30" s="50" t="s">
        <v>313</v>
      </c>
      <c r="B30" s="44" t="s">
        <v>1</v>
      </c>
      <c r="C30" s="57">
        <f>AVERAGE(F26:F27)</f>
        <v>2.5310000000000006</v>
      </c>
      <c r="D30" s="58" t="s">
        <v>314</v>
      </c>
      <c r="E30" s="63" t="s">
        <v>315</v>
      </c>
      <c r="F30" s="60">
        <v>39.565999999999988</v>
      </c>
      <c r="G30" s="61"/>
    </row>
    <row r="31" spans="1:7" x14ac:dyDescent="0.25">
      <c r="A31" s="50" t="s">
        <v>316</v>
      </c>
      <c r="B31" s="44" t="s">
        <v>266</v>
      </c>
      <c r="C31" s="57">
        <f>AVERAGE(F28:F29)</f>
        <v>146.28699999999998</v>
      </c>
      <c r="D31" s="58" t="s">
        <v>317</v>
      </c>
      <c r="E31" s="63" t="s">
        <v>318</v>
      </c>
      <c r="F31" s="60">
        <v>31.989400000000003</v>
      </c>
      <c r="G31" s="61"/>
    </row>
    <row r="32" spans="1:7" x14ac:dyDescent="0.25">
      <c r="A32" s="50" t="s">
        <v>319</v>
      </c>
      <c r="B32" s="44" t="s">
        <v>266</v>
      </c>
      <c r="C32" s="57">
        <f>F30</f>
        <v>39.565999999999988</v>
      </c>
      <c r="D32" s="58" t="s">
        <v>320</v>
      </c>
      <c r="E32" s="63" t="s">
        <v>321</v>
      </c>
      <c r="F32" s="60">
        <v>6.0715999999999983</v>
      </c>
      <c r="G32" s="61"/>
    </row>
    <row r="33" spans="1:7" x14ac:dyDescent="0.25">
      <c r="A33" s="50" t="s">
        <v>322</v>
      </c>
      <c r="B33" s="44" t="s">
        <v>266</v>
      </c>
      <c r="C33" s="57">
        <f>F31</f>
        <v>31.989400000000003</v>
      </c>
      <c r="D33" s="58" t="s">
        <v>323</v>
      </c>
      <c r="E33" s="63" t="s">
        <v>324</v>
      </c>
      <c r="F33" s="60">
        <v>6.0715999999999983</v>
      </c>
      <c r="G33" s="61"/>
    </row>
    <row r="34" spans="1:7" x14ac:dyDescent="0.25">
      <c r="A34" s="50" t="s">
        <v>325</v>
      </c>
      <c r="B34" s="44" t="s">
        <v>1</v>
      </c>
      <c r="C34" s="57">
        <f>AVERAGE(F32:F33)</f>
        <v>6.0715999999999983</v>
      </c>
      <c r="D34" s="58" t="s">
        <v>326</v>
      </c>
      <c r="E34" s="63" t="s">
        <v>327</v>
      </c>
      <c r="F34" s="60">
        <v>830.64119999999991</v>
      </c>
      <c r="G34" s="61"/>
    </row>
    <row r="35" spans="1:7" x14ac:dyDescent="0.25">
      <c r="A35" s="50" t="s">
        <v>328</v>
      </c>
      <c r="B35" s="44" t="s">
        <v>329</v>
      </c>
      <c r="C35" s="66">
        <v>1.2999999999999999E-2</v>
      </c>
      <c r="D35" s="58" t="s">
        <v>330</v>
      </c>
      <c r="E35" s="63" t="s">
        <v>331</v>
      </c>
      <c r="F35" s="60">
        <v>247.41319999999996</v>
      </c>
      <c r="G35" s="61"/>
    </row>
    <row r="36" spans="1:7" x14ac:dyDescent="0.25">
      <c r="A36" s="50" t="s">
        <v>332</v>
      </c>
      <c r="B36" s="44" t="s">
        <v>329</v>
      </c>
      <c r="C36" s="52">
        <v>1.2800000000000001E-2</v>
      </c>
      <c r="D36" s="58" t="s">
        <v>333</v>
      </c>
      <c r="E36" s="63" t="s">
        <v>334</v>
      </c>
      <c r="F36" s="60">
        <v>164.58690200000001</v>
      </c>
      <c r="G36" s="61"/>
    </row>
    <row r="37" spans="1:7" x14ac:dyDescent="0.25">
      <c r="A37" s="50"/>
      <c r="B37" s="44"/>
      <c r="C37" s="52"/>
      <c r="D37" s="58" t="s">
        <v>335</v>
      </c>
      <c r="E37" s="63" t="s">
        <v>336</v>
      </c>
      <c r="F37" s="60">
        <v>797.99479999999983</v>
      </c>
      <c r="G37" s="61"/>
    </row>
    <row r="38" spans="1:7" x14ac:dyDescent="0.25">
      <c r="A38" s="50" t="s">
        <v>337</v>
      </c>
      <c r="B38" s="44" t="s">
        <v>270</v>
      </c>
      <c r="C38" s="57">
        <f>F34</f>
        <v>830.64119999999991</v>
      </c>
      <c r="D38" s="58" t="s">
        <v>338</v>
      </c>
      <c r="E38" s="63" t="s">
        <v>339</v>
      </c>
      <c r="F38" s="60">
        <v>539.01140000000009</v>
      </c>
      <c r="G38" s="61"/>
    </row>
    <row r="39" spans="1:7" x14ac:dyDescent="0.25">
      <c r="A39" s="50" t="s">
        <v>340</v>
      </c>
      <c r="B39" s="44" t="s">
        <v>266</v>
      </c>
      <c r="C39" s="57">
        <f>F35</f>
        <v>247.41319999999996</v>
      </c>
      <c r="D39" s="58" t="s">
        <v>338</v>
      </c>
      <c r="E39" s="63" t="s">
        <v>339</v>
      </c>
      <c r="F39" s="60">
        <v>538.10360000000014</v>
      </c>
      <c r="G39" s="61"/>
    </row>
    <row r="40" spans="1:7" x14ac:dyDescent="0.25">
      <c r="A40" s="50" t="s">
        <v>341</v>
      </c>
      <c r="B40" s="44" t="s">
        <v>342</v>
      </c>
      <c r="C40" s="57">
        <f>F36</f>
        <v>164.58690200000001</v>
      </c>
      <c r="D40" s="58" t="s">
        <v>343</v>
      </c>
      <c r="E40" s="63" t="s">
        <v>344</v>
      </c>
      <c r="F40" s="60">
        <v>145.71246199999999</v>
      </c>
      <c r="G40" s="61"/>
    </row>
    <row r="41" spans="1:7" x14ac:dyDescent="0.25">
      <c r="A41" s="50" t="s">
        <v>345</v>
      </c>
      <c r="B41" s="44" t="s">
        <v>270</v>
      </c>
      <c r="C41" s="57">
        <f>F37</f>
        <v>797.99479999999983</v>
      </c>
      <c r="D41" s="58" t="s">
        <v>343</v>
      </c>
      <c r="E41" s="63" t="s">
        <v>346</v>
      </c>
      <c r="F41" s="60">
        <v>145.36322600000003</v>
      </c>
      <c r="G41" s="61"/>
    </row>
    <row r="42" spans="1:7" x14ac:dyDescent="0.25">
      <c r="A42" s="50" t="s">
        <v>347</v>
      </c>
      <c r="B42" s="44" t="s">
        <v>266</v>
      </c>
      <c r="C42" s="57">
        <f>F38</f>
        <v>539.01140000000009</v>
      </c>
      <c r="D42" s="58"/>
      <c r="E42" s="63" t="s">
        <v>348</v>
      </c>
      <c r="F42" s="60">
        <v>49.745999999999995</v>
      </c>
      <c r="G42" s="61"/>
    </row>
    <row r="43" spans="1:7" x14ac:dyDescent="0.25">
      <c r="A43" s="50" t="s">
        <v>349</v>
      </c>
      <c r="B43" s="44" t="s">
        <v>342</v>
      </c>
      <c r="C43" s="57">
        <f>AVERAGE(F40:F41)</f>
        <v>145.53784400000001</v>
      </c>
      <c r="D43" s="58"/>
      <c r="E43" s="63" t="s">
        <v>350</v>
      </c>
      <c r="F43" s="60">
        <v>50.125200000000007</v>
      </c>
      <c r="G43" s="61"/>
    </row>
    <row r="44" spans="1:7" x14ac:dyDescent="0.25">
      <c r="A44" s="50" t="s">
        <v>351</v>
      </c>
      <c r="B44" s="44" t="s">
        <v>270</v>
      </c>
      <c r="C44" s="57">
        <f>SUM(F42:F43)</f>
        <v>99.871200000000002</v>
      </c>
      <c r="D44" s="58" t="s">
        <v>352</v>
      </c>
      <c r="E44" s="63" t="s">
        <v>353</v>
      </c>
      <c r="F44" s="60">
        <v>345.60399999999993</v>
      </c>
      <c r="G44" s="61"/>
    </row>
    <row r="45" spans="1:7" x14ac:dyDescent="0.25">
      <c r="A45" s="50" t="s">
        <v>354</v>
      </c>
      <c r="B45" s="44" t="s">
        <v>266</v>
      </c>
      <c r="C45" s="57">
        <f>F68</f>
        <v>247.18714847999996</v>
      </c>
      <c r="D45" s="58" t="s">
        <v>355</v>
      </c>
      <c r="E45" s="63" t="s">
        <v>356</v>
      </c>
      <c r="F45" s="60">
        <v>38.355745999999989</v>
      </c>
      <c r="G45" s="61"/>
    </row>
    <row r="46" spans="1:7" x14ac:dyDescent="0.25">
      <c r="A46" s="50" t="s">
        <v>357</v>
      </c>
      <c r="B46" s="44" t="s">
        <v>342</v>
      </c>
      <c r="C46" s="57">
        <f>F69</f>
        <v>166.33072759999999</v>
      </c>
      <c r="D46" s="58" t="s">
        <v>358</v>
      </c>
      <c r="E46" s="63" t="s">
        <v>359</v>
      </c>
      <c r="F46" s="60">
        <v>540.63959999999997</v>
      </c>
      <c r="G46" s="61"/>
    </row>
    <row r="47" spans="1:7" x14ac:dyDescent="0.25">
      <c r="A47" s="50" t="s">
        <v>360</v>
      </c>
      <c r="B47" s="44" t="s">
        <v>270</v>
      </c>
      <c r="C47" s="52"/>
      <c r="D47" s="58" t="s">
        <v>361</v>
      </c>
      <c r="E47" s="63" t="s">
        <v>362</v>
      </c>
      <c r="F47" s="60">
        <v>540.495</v>
      </c>
      <c r="G47" s="61"/>
    </row>
    <row r="48" spans="1:7" x14ac:dyDescent="0.25">
      <c r="A48" s="50" t="s">
        <v>363</v>
      </c>
      <c r="B48" s="44" t="s">
        <v>266</v>
      </c>
      <c r="C48" s="57">
        <f>AVERAGE(F46:F47)</f>
        <v>540.56729999999993</v>
      </c>
      <c r="D48" s="58" t="s">
        <v>364</v>
      </c>
      <c r="E48" s="63" t="s">
        <v>365</v>
      </c>
      <c r="F48" s="60">
        <v>36.360391999999997</v>
      </c>
      <c r="G48" s="61"/>
    </row>
    <row r="49" spans="1:7" x14ac:dyDescent="0.25">
      <c r="A49" s="50" t="s">
        <v>366</v>
      </c>
      <c r="B49" s="44" t="s">
        <v>342</v>
      </c>
      <c r="C49" s="57">
        <f>AVERAGE(F48:F49)</f>
        <v>36.294076399999994</v>
      </c>
      <c r="D49" s="58" t="s">
        <v>367</v>
      </c>
      <c r="E49" s="63" t="s">
        <v>368</v>
      </c>
      <c r="F49" s="60">
        <v>36.227760799999999</v>
      </c>
      <c r="G49" s="61"/>
    </row>
    <row r="50" spans="1:7" x14ac:dyDescent="0.25">
      <c r="A50" s="50" t="s">
        <v>369</v>
      </c>
      <c r="B50" s="44" t="s">
        <v>270</v>
      </c>
      <c r="C50" s="52"/>
      <c r="D50" s="58"/>
      <c r="E50" s="63" t="s">
        <v>370</v>
      </c>
      <c r="F50" s="60">
        <v>12.641999999999996</v>
      </c>
      <c r="G50" s="61"/>
    </row>
    <row r="51" spans="1:7" x14ac:dyDescent="0.25">
      <c r="A51" s="50" t="s">
        <v>371</v>
      </c>
      <c r="B51" s="44" t="s">
        <v>266</v>
      </c>
      <c r="C51" s="57">
        <f>F44</f>
        <v>345.60399999999993</v>
      </c>
      <c r="D51" s="58"/>
      <c r="E51" s="63" t="s">
        <v>372</v>
      </c>
      <c r="F51" s="60">
        <v>12.641999999999996</v>
      </c>
      <c r="G51" s="61"/>
    </row>
    <row r="52" spans="1:7" x14ac:dyDescent="0.25">
      <c r="A52" s="50" t="s">
        <v>373</v>
      </c>
      <c r="B52" s="44" t="s">
        <v>342</v>
      </c>
      <c r="C52" s="57">
        <f>F45</f>
        <v>38.355745999999989</v>
      </c>
      <c r="D52" s="58" t="s">
        <v>374</v>
      </c>
      <c r="E52" s="63" t="s">
        <v>375</v>
      </c>
      <c r="F52" s="60">
        <v>78.463656320000013</v>
      </c>
      <c r="G52" s="61"/>
    </row>
    <row r="53" spans="1:7" x14ac:dyDescent="0.25">
      <c r="A53" s="50" t="s">
        <v>376</v>
      </c>
      <c r="B53" s="44" t="s">
        <v>270</v>
      </c>
      <c r="C53" s="57">
        <f>SUM(F50:F51)</f>
        <v>25.283999999999992</v>
      </c>
      <c r="D53" s="58" t="s">
        <v>377</v>
      </c>
      <c r="E53" s="63" t="s">
        <v>378</v>
      </c>
      <c r="F53" s="60">
        <v>207.14959999999999</v>
      </c>
      <c r="G53" s="61"/>
    </row>
    <row r="54" spans="1:7" x14ac:dyDescent="0.25">
      <c r="A54" s="50" t="s">
        <v>379</v>
      </c>
      <c r="B54" s="44" t="s">
        <v>266</v>
      </c>
      <c r="C54" s="57">
        <f>F67</f>
        <v>247.30479999999986</v>
      </c>
      <c r="D54" s="58" t="s">
        <v>380</v>
      </c>
      <c r="E54" s="63" t="s">
        <v>381</v>
      </c>
      <c r="F54" s="60">
        <v>168.77420240000001</v>
      </c>
      <c r="G54" s="61"/>
    </row>
    <row r="55" spans="1:7" ht="15.75" thickBot="1" x14ac:dyDescent="0.3">
      <c r="A55" s="67" t="s">
        <v>382</v>
      </c>
      <c r="B55" s="68" t="s">
        <v>342</v>
      </c>
      <c r="C55" s="69">
        <f>F69</f>
        <v>166.33072759999999</v>
      </c>
      <c r="D55" s="58" t="s">
        <v>330</v>
      </c>
      <c r="E55" s="63" t="s">
        <v>331</v>
      </c>
      <c r="F55" s="60">
        <v>247.41319999999996</v>
      </c>
      <c r="G55" s="61"/>
    </row>
    <row r="56" spans="1:7" x14ac:dyDescent="0.25">
      <c r="D56" s="58" t="s">
        <v>333</v>
      </c>
      <c r="E56" s="63" t="s">
        <v>334</v>
      </c>
      <c r="F56" s="60">
        <v>164.58690200000001</v>
      </c>
      <c r="G56" s="61"/>
    </row>
    <row r="57" spans="1:7" x14ac:dyDescent="0.25">
      <c r="D57" s="58" t="s">
        <v>383</v>
      </c>
      <c r="E57" s="63" t="s">
        <v>384</v>
      </c>
      <c r="F57" s="60">
        <v>344.60519999999997</v>
      </c>
      <c r="G57" s="61"/>
    </row>
    <row r="58" spans="1:7" x14ac:dyDescent="0.25">
      <c r="D58" s="58" t="s">
        <v>385</v>
      </c>
      <c r="E58" s="63" t="s">
        <v>386</v>
      </c>
      <c r="F58" s="60">
        <v>38.40989720000001</v>
      </c>
      <c r="G58" s="61"/>
    </row>
    <row r="59" spans="1:7" x14ac:dyDescent="0.25">
      <c r="D59" s="58" t="s">
        <v>387</v>
      </c>
      <c r="E59" s="63" t="s">
        <v>388</v>
      </c>
      <c r="F59" s="60">
        <v>213.93520000000007</v>
      </c>
      <c r="G59" s="61"/>
    </row>
    <row r="60" spans="1:7" x14ac:dyDescent="0.25">
      <c r="D60" s="58" t="s">
        <v>274</v>
      </c>
      <c r="E60" s="70" t="s">
        <v>389</v>
      </c>
      <c r="F60" s="60">
        <v>270.72959999999995</v>
      </c>
      <c r="G60" s="61"/>
    </row>
    <row r="61" spans="1:7" x14ac:dyDescent="0.25">
      <c r="D61" s="70" t="s">
        <v>374</v>
      </c>
      <c r="E61" s="70" t="s">
        <v>375</v>
      </c>
      <c r="F61" s="60">
        <v>78.463656320000013</v>
      </c>
      <c r="G61" s="61"/>
    </row>
    <row r="62" spans="1:7" x14ac:dyDescent="0.25">
      <c r="D62" s="70" t="s">
        <v>390</v>
      </c>
      <c r="E62" s="70" t="s">
        <v>391</v>
      </c>
      <c r="F62" s="60">
        <v>36.106399999999994</v>
      </c>
      <c r="G62" s="61"/>
    </row>
    <row r="63" spans="1:7" x14ac:dyDescent="0.25">
      <c r="D63" s="70" t="s">
        <v>392</v>
      </c>
      <c r="E63" s="70" t="s">
        <v>391</v>
      </c>
      <c r="F63" s="60">
        <v>36.195599999999999</v>
      </c>
      <c r="G63" s="61"/>
    </row>
    <row r="64" spans="1:7" x14ac:dyDescent="0.25">
      <c r="D64" s="70" t="s">
        <v>393</v>
      </c>
      <c r="E64" s="70" t="s">
        <v>394</v>
      </c>
      <c r="F64" s="60">
        <v>45.259599999999992</v>
      </c>
      <c r="G64" s="61"/>
    </row>
    <row r="65" spans="4:7" x14ac:dyDescent="0.25">
      <c r="D65" s="70" t="s">
        <v>395</v>
      </c>
      <c r="E65" s="70" t="s">
        <v>394</v>
      </c>
      <c r="F65" s="60">
        <v>44.930399999999999</v>
      </c>
      <c r="G65" s="61"/>
    </row>
    <row r="66" spans="4:7" x14ac:dyDescent="0.25">
      <c r="D66" s="210" t="s">
        <v>869</v>
      </c>
      <c r="E66" s="210" t="s">
        <v>249</v>
      </c>
      <c r="F66" s="211">
        <v>164.52843440000004</v>
      </c>
      <c r="G66" s="61"/>
    </row>
    <row r="67" spans="4:7" x14ac:dyDescent="0.25">
      <c r="D67" s="210" t="s">
        <v>871</v>
      </c>
      <c r="E67" s="210" t="s">
        <v>870</v>
      </c>
      <c r="F67" s="210">
        <v>247.30479999999986</v>
      </c>
      <c r="G67" s="61"/>
    </row>
    <row r="68" spans="4:7" x14ac:dyDescent="0.25">
      <c r="D68" s="210" t="s">
        <v>872</v>
      </c>
      <c r="E68" s="210" t="s">
        <v>250</v>
      </c>
      <c r="F68" s="210">
        <v>247.18714847999996</v>
      </c>
      <c r="G68" s="61"/>
    </row>
    <row r="69" spans="4:7" x14ac:dyDescent="0.25">
      <c r="D69" s="210" t="s">
        <v>874</v>
      </c>
      <c r="E69" s="210" t="s">
        <v>873</v>
      </c>
      <c r="F69" s="210">
        <v>166.33072759999999</v>
      </c>
      <c r="G69" s="61"/>
    </row>
  </sheetData>
  <mergeCells count="1">
    <mergeCell ref="A1:D1"/>
  </mergeCells>
  <pageMargins left="0.7" right="0.7" top="0.75" bottom="0.75" header="0.3" footer="0.3"/>
  <pageSetup paperSize="9" scale="45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307"/>
  <sheetViews>
    <sheetView topLeftCell="A287" zoomScaleNormal="100" workbookViewId="0">
      <selection activeCell="J305" sqref="J305"/>
    </sheetView>
  </sheetViews>
  <sheetFormatPr defaultRowHeight="15" x14ac:dyDescent="0.25"/>
  <cols>
    <col min="1" max="1" width="7.5703125" style="42" customWidth="1"/>
    <col min="2" max="2" width="53" style="42" customWidth="1"/>
    <col min="3" max="3" width="20" style="42" customWidth="1"/>
    <col min="4" max="9" width="9.28515625" style="42" customWidth="1"/>
    <col min="10" max="10" width="17.140625" style="42" customWidth="1"/>
    <col min="11" max="11" width="5.85546875" style="71" customWidth="1"/>
    <col min="12" max="12" width="32.42578125" style="42" customWidth="1"/>
    <col min="13" max="13" width="10.5703125" style="42" customWidth="1"/>
    <col min="14" max="14" width="13" style="42" customWidth="1"/>
    <col min="15" max="15" width="9.140625" style="42"/>
    <col min="16" max="16" width="12.85546875" style="42" bestFit="1" customWidth="1"/>
    <col min="17" max="17" width="13.28515625" style="42" bestFit="1" customWidth="1"/>
    <col min="18" max="16384" width="9.140625" style="42"/>
  </cols>
  <sheetData>
    <row r="1" spans="1:14" ht="15.75" thickBot="1" x14ac:dyDescent="0.3"/>
    <row r="2" spans="1:14" ht="78" customHeight="1" thickBot="1" x14ac:dyDescent="0.3">
      <c r="A2" s="345" t="s">
        <v>396</v>
      </c>
      <c r="B2" s="346"/>
      <c r="C2" s="346"/>
      <c r="D2" s="346"/>
      <c r="E2" s="346"/>
      <c r="F2" s="346"/>
      <c r="G2" s="346"/>
      <c r="H2" s="346"/>
      <c r="I2" s="346"/>
      <c r="J2" s="347"/>
    </row>
    <row r="3" spans="1:14" ht="31.5" customHeight="1" thickBot="1" x14ac:dyDescent="0.3">
      <c r="A3" s="354" t="s">
        <v>884</v>
      </c>
      <c r="B3" s="353"/>
      <c r="C3" s="192" t="s">
        <v>861</v>
      </c>
      <c r="D3" s="354" t="s">
        <v>1476</v>
      </c>
      <c r="E3" s="352"/>
      <c r="F3" s="352"/>
      <c r="G3" s="352"/>
      <c r="H3" s="352" t="s">
        <v>1503</v>
      </c>
      <c r="I3" s="352"/>
      <c r="J3" s="353"/>
      <c r="K3" s="42"/>
    </row>
    <row r="4" spans="1:14" ht="18.75" x14ac:dyDescent="0.3">
      <c r="A4" s="72">
        <v>1</v>
      </c>
      <c r="B4" s="73" t="s">
        <v>397</v>
      </c>
      <c r="C4" s="74"/>
      <c r="D4" s="1"/>
      <c r="E4" s="1"/>
      <c r="F4" s="1"/>
      <c r="G4" s="1"/>
      <c r="H4" s="1"/>
      <c r="I4" s="1"/>
      <c r="J4" s="54"/>
    </row>
    <row r="5" spans="1:14" x14ac:dyDescent="0.25">
      <c r="A5" s="53" t="s">
        <v>398</v>
      </c>
      <c r="B5" s="53" t="s">
        <v>399</v>
      </c>
      <c r="C5" s="1" t="s">
        <v>400</v>
      </c>
      <c r="D5" s="1"/>
      <c r="E5" s="1"/>
      <c r="F5" s="1"/>
      <c r="G5" s="1"/>
      <c r="H5" s="1"/>
      <c r="I5" s="1"/>
      <c r="J5" s="75">
        <f>N7/100</f>
        <v>0.25842702140927037</v>
      </c>
      <c r="L5" s="76" t="s">
        <v>401</v>
      </c>
      <c r="N5" s="42">
        <f>Inputs!C15</f>
        <v>20</v>
      </c>
    </row>
    <row r="6" spans="1:14" x14ac:dyDescent="0.25">
      <c r="A6" s="53" t="s">
        <v>402</v>
      </c>
      <c r="B6" s="53" t="s">
        <v>403</v>
      </c>
      <c r="C6" s="1" t="s">
        <v>400</v>
      </c>
      <c r="D6" s="1"/>
      <c r="E6" s="1"/>
      <c r="F6" s="1"/>
      <c r="G6" s="1"/>
      <c r="H6" s="1"/>
      <c r="I6" s="1"/>
      <c r="J6" s="75">
        <f>N8/100</f>
        <v>0.41443637497401786</v>
      </c>
      <c r="L6" s="76" t="s">
        <v>404</v>
      </c>
      <c r="M6" s="42" t="s">
        <v>260</v>
      </c>
      <c r="N6" s="42">
        <f>Conversion!B9</f>
        <v>3110.2959883600083</v>
      </c>
    </row>
    <row r="7" spans="1:14" x14ac:dyDescent="0.25">
      <c r="A7" s="53" t="s">
        <v>405</v>
      </c>
      <c r="B7" s="53" t="s">
        <v>406</v>
      </c>
      <c r="C7" s="1" t="s">
        <v>400</v>
      </c>
      <c r="D7" s="1"/>
      <c r="E7" s="1"/>
      <c r="F7" s="1"/>
      <c r="G7" s="1"/>
      <c r="H7" s="1"/>
      <c r="I7" s="1"/>
      <c r="J7" s="75">
        <f>N9/100</f>
        <v>0.1348</v>
      </c>
      <c r="L7" s="76" t="s">
        <v>407</v>
      </c>
      <c r="N7" s="42">
        <f>Conversion!B8</f>
        <v>25.842702140927038</v>
      </c>
    </row>
    <row r="8" spans="1:14" x14ac:dyDescent="0.25">
      <c r="A8" s="53" t="s">
        <v>408</v>
      </c>
      <c r="B8" s="53" t="s">
        <v>409</v>
      </c>
      <c r="C8" s="1" t="s">
        <v>400</v>
      </c>
      <c r="D8" s="1"/>
      <c r="E8" s="1"/>
      <c r="F8" s="1"/>
      <c r="G8" s="1"/>
      <c r="H8" s="1"/>
      <c r="I8" s="1"/>
      <c r="J8" s="75">
        <f>N10/100</f>
        <v>0.1923366036167117</v>
      </c>
      <c r="L8" s="76" t="s">
        <v>410</v>
      </c>
      <c r="N8" s="42">
        <f>Conversion!B6</f>
        <v>41.443637497401788</v>
      </c>
    </row>
    <row r="9" spans="1:14" x14ac:dyDescent="0.25">
      <c r="A9" s="53" t="s">
        <v>411</v>
      </c>
      <c r="B9" s="53" t="s">
        <v>412</v>
      </c>
      <c r="C9" s="1" t="s">
        <v>400</v>
      </c>
      <c r="D9" s="1"/>
      <c r="E9" s="1"/>
      <c r="F9" s="1"/>
      <c r="G9" s="1"/>
      <c r="H9" s="1"/>
      <c r="I9" s="1"/>
      <c r="J9" s="75">
        <f>J8/(1-J6-J7)</f>
        <v>0.42669060442848594</v>
      </c>
      <c r="L9" s="76" t="s">
        <v>413</v>
      </c>
      <c r="N9" s="42">
        <f>Conversion!B5</f>
        <v>13.48</v>
      </c>
    </row>
    <row r="10" spans="1:14" x14ac:dyDescent="0.25">
      <c r="A10" s="53" t="s">
        <v>414</v>
      </c>
      <c r="B10" s="53" t="s">
        <v>415</v>
      </c>
      <c r="C10" s="1" t="s">
        <v>400</v>
      </c>
      <c r="D10" s="1"/>
      <c r="E10" s="1"/>
      <c r="F10" s="1"/>
      <c r="G10" s="1"/>
      <c r="H10" s="1"/>
      <c r="I10" s="1"/>
      <c r="J10" s="75">
        <f>0.1*(1-J6-J7)</f>
        <v>4.5076362502598215E-2</v>
      </c>
      <c r="L10" s="76" t="s">
        <v>416</v>
      </c>
      <c r="N10" s="42">
        <f>Conversion!B7</f>
        <v>19.23366036167117</v>
      </c>
    </row>
    <row r="11" spans="1:14" x14ac:dyDescent="0.25">
      <c r="A11" s="53" t="s">
        <v>417</v>
      </c>
      <c r="B11" s="53" t="s">
        <v>418</v>
      </c>
      <c r="C11" s="1" t="s">
        <v>400</v>
      </c>
      <c r="D11" s="1"/>
      <c r="E11" s="1"/>
      <c r="F11" s="1"/>
      <c r="G11" s="1"/>
      <c r="H11" s="1"/>
      <c r="I11" s="1"/>
      <c r="J11" s="75">
        <f>J8-J10</f>
        <v>0.14726024111411348</v>
      </c>
      <c r="L11" s="76" t="s">
        <v>269</v>
      </c>
      <c r="M11" s="42" t="s">
        <v>270</v>
      </c>
      <c r="N11" s="43">
        <f>Inputs!C16</f>
        <v>201.29679999999996</v>
      </c>
    </row>
    <row r="12" spans="1:14" x14ac:dyDescent="0.25">
      <c r="A12" s="53" t="s">
        <v>419</v>
      </c>
      <c r="B12" s="53" t="s">
        <v>420</v>
      </c>
      <c r="C12" s="9" t="s">
        <v>421</v>
      </c>
      <c r="D12" s="1"/>
      <c r="E12" s="1"/>
      <c r="F12" s="1"/>
      <c r="G12" s="1"/>
      <c r="H12" s="1"/>
      <c r="I12" s="1"/>
      <c r="J12" s="77">
        <f>(N5*9/5)+32</f>
        <v>68</v>
      </c>
      <c r="L12" s="76" t="s">
        <v>273</v>
      </c>
      <c r="M12" s="42" t="s">
        <v>266</v>
      </c>
      <c r="N12" s="43">
        <f>Inputs!C17</f>
        <v>20</v>
      </c>
    </row>
    <row r="13" spans="1:14" x14ac:dyDescent="0.25">
      <c r="A13" s="53" t="s">
        <v>422</v>
      </c>
      <c r="B13" s="53" t="s">
        <v>423</v>
      </c>
      <c r="C13" s="9" t="s">
        <v>424</v>
      </c>
      <c r="D13" s="17">
        <f>0.152*J12</f>
        <v>10.336</v>
      </c>
      <c r="E13" s="17">
        <f>1.95*0.0001*J12^2</f>
        <v>0.90168000000000004</v>
      </c>
      <c r="F13" s="17">
        <v>12.86</v>
      </c>
      <c r="G13" s="17">
        <f>D13+E13-F13</f>
        <v>-1.6223199999999984</v>
      </c>
      <c r="H13" s="1"/>
      <c r="I13" s="1"/>
      <c r="J13" s="75">
        <f>G13*2323.7</f>
        <v>-3769.7849839999963</v>
      </c>
      <c r="L13" s="76" t="s">
        <v>276</v>
      </c>
      <c r="M13" s="42" t="s">
        <v>277</v>
      </c>
      <c r="N13" s="43">
        <f>Inputs!C18</f>
        <v>270.72959999999995</v>
      </c>
    </row>
    <row r="14" spans="1:14" x14ac:dyDescent="0.25">
      <c r="A14" s="53" t="s">
        <v>425</v>
      </c>
      <c r="B14" s="53" t="s">
        <v>426</v>
      </c>
      <c r="C14" s="9" t="s">
        <v>424</v>
      </c>
      <c r="D14" s="17">
        <f>0.17*J12</f>
        <v>11.56</v>
      </c>
      <c r="E14" s="17">
        <f>0.8*0.0001*J12^2</f>
        <v>0.36992000000000003</v>
      </c>
      <c r="F14" s="17">
        <v>13.564</v>
      </c>
      <c r="G14" s="17">
        <f>D14+E14-F14</f>
        <v>-1.6340799999999991</v>
      </c>
      <c r="H14" s="1"/>
      <c r="I14" s="1"/>
      <c r="J14" s="75">
        <f>G14*2323.7</f>
        <v>-3797.1116959999977</v>
      </c>
      <c r="L14" s="348" t="s">
        <v>280</v>
      </c>
      <c r="M14" s="349" t="s">
        <v>281</v>
      </c>
      <c r="N14" s="350">
        <f>Inputs!C19</f>
        <v>17000</v>
      </c>
    </row>
    <row r="15" spans="1:14" x14ac:dyDescent="0.25">
      <c r="A15" s="53" t="s">
        <v>427</v>
      </c>
      <c r="B15" s="53" t="s">
        <v>428</v>
      </c>
      <c r="C15" s="9" t="s">
        <v>424</v>
      </c>
      <c r="D15" s="17">
        <f>J12-77</f>
        <v>-9</v>
      </c>
      <c r="E15" s="17"/>
      <c r="F15" s="17"/>
      <c r="G15" s="17"/>
      <c r="H15" s="1"/>
      <c r="I15" s="1"/>
      <c r="J15" s="75">
        <f>D15*2323.7</f>
        <v>-20913.3</v>
      </c>
      <c r="L15" s="348"/>
      <c r="M15" s="349"/>
      <c r="N15" s="351"/>
    </row>
    <row r="16" spans="1:14" x14ac:dyDescent="0.25">
      <c r="A16" s="53" t="s">
        <v>429</v>
      </c>
      <c r="B16" s="53" t="s">
        <v>430</v>
      </c>
      <c r="C16" s="9" t="s">
        <v>424</v>
      </c>
      <c r="D16" s="17">
        <f>0.38*J12</f>
        <v>25.84</v>
      </c>
      <c r="E16" s="17">
        <f>2.25*0.0001*J12^2</f>
        <v>1.0404</v>
      </c>
      <c r="F16" s="17">
        <v>30.594000000000001</v>
      </c>
      <c r="G16" s="17">
        <f>D16+E16-F16</f>
        <v>-3.7135999999999996</v>
      </c>
      <c r="H16" s="1"/>
      <c r="I16" s="1"/>
      <c r="J16" s="75">
        <f>G16*2323.7</f>
        <v>-8629.2923199999987</v>
      </c>
      <c r="L16" s="76" t="s">
        <v>284</v>
      </c>
      <c r="M16" s="42" t="s">
        <v>266</v>
      </c>
      <c r="N16" s="43">
        <f>Inputs!C20</f>
        <v>298</v>
      </c>
    </row>
    <row r="17" spans="1:16" x14ac:dyDescent="0.25">
      <c r="A17" s="53" t="s">
        <v>431</v>
      </c>
      <c r="B17" s="53" t="s">
        <v>432</v>
      </c>
      <c r="C17" s="9" t="s">
        <v>424</v>
      </c>
      <c r="D17" s="17">
        <f>0.7*J12</f>
        <v>47.599999999999994</v>
      </c>
      <c r="E17" s="17">
        <f>1.7*0.0001*J12^2</f>
        <v>0.78608000000000011</v>
      </c>
      <c r="F17" s="17">
        <v>54.908000000000001</v>
      </c>
      <c r="G17" s="17">
        <f>D17+E17-F17</f>
        <v>-6.5219200000000086</v>
      </c>
      <c r="H17" s="1"/>
      <c r="I17" s="1"/>
      <c r="J17" s="75">
        <f>G17*2323.7</f>
        <v>-15154.985504000018</v>
      </c>
      <c r="L17" s="76" t="s">
        <v>287</v>
      </c>
      <c r="M17" s="42" t="s">
        <v>270</v>
      </c>
      <c r="N17" s="43">
        <f>Inputs!C21</f>
        <v>0</v>
      </c>
    </row>
    <row r="18" spans="1:16" ht="16.5" thickBot="1" x14ac:dyDescent="0.3">
      <c r="A18" s="53" t="s">
        <v>433</v>
      </c>
      <c r="B18" s="78" t="s">
        <v>434</v>
      </c>
      <c r="C18" s="79" t="s">
        <v>424</v>
      </c>
      <c r="D18" s="80">
        <f>J5*J13</f>
        <v>-974.21430476851299</v>
      </c>
      <c r="E18" s="80">
        <f>J11*J16</f>
        <v>-1270.7516676873674</v>
      </c>
      <c r="F18" s="80">
        <f>J10*J17</f>
        <v>-683.13162029992588</v>
      </c>
      <c r="G18" s="80">
        <f>J7*J15</f>
        <v>-2819.1128399999998</v>
      </c>
      <c r="H18" s="80">
        <f>J6*J14</f>
        <v>-1573.661206661684</v>
      </c>
      <c r="I18" s="80"/>
      <c r="J18" s="81">
        <f>SUM(D18:H18)</f>
        <v>-7320.8716394174899</v>
      </c>
      <c r="L18" s="76" t="s">
        <v>290</v>
      </c>
      <c r="M18" s="42" t="s">
        <v>435</v>
      </c>
      <c r="N18" s="43">
        <f>Inputs!C22</f>
        <v>1129</v>
      </c>
    </row>
    <row r="19" spans="1:16" x14ac:dyDescent="0.25">
      <c r="A19" s="53"/>
      <c r="B19" s="1"/>
      <c r="C19" s="1"/>
      <c r="D19" s="1"/>
      <c r="E19" s="1"/>
      <c r="F19" s="1"/>
      <c r="G19" s="1"/>
      <c r="H19" s="1"/>
      <c r="I19" s="1"/>
      <c r="J19" s="54"/>
      <c r="L19" s="76" t="s">
        <v>293</v>
      </c>
      <c r="M19" s="42" t="s">
        <v>1</v>
      </c>
      <c r="N19" s="43">
        <f>Inputs!C23</f>
        <v>87.48</v>
      </c>
    </row>
    <row r="20" spans="1:16" ht="18.75" x14ac:dyDescent="0.3">
      <c r="A20" s="72">
        <v>2</v>
      </c>
      <c r="B20" s="74" t="s">
        <v>436</v>
      </c>
      <c r="C20" s="74"/>
      <c r="D20" s="1"/>
      <c r="E20" s="1"/>
      <c r="F20" s="1"/>
      <c r="G20" s="1"/>
      <c r="H20" s="1"/>
      <c r="I20" s="1"/>
      <c r="J20" s="54"/>
    </row>
    <row r="21" spans="1:16" ht="15" customHeight="1" thickBot="1" x14ac:dyDescent="0.35">
      <c r="A21" s="53"/>
      <c r="B21" s="74"/>
      <c r="C21" s="74"/>
      <c r="D21" s="82">
        <f>-0.1310658*1000</f>
        <v>-131.06580000000002</v>
      </c>
      <c r="E21" s="82">
        <f>0.45813</f>
        <v>0.45812999999999998</v>
      </c>
      <c r="F21" s="82">
        <f>-0.107503*0.001</f>
        <v>-1.07503E-4</v>
      </c>
      <c r="G21" s="82">
        <f>0.1778848*0.000001</f>
        <v>1.778848E-7</v>
      </c>
      <c r="H21" s="82">
        <f>-0.9248664*0.0000000001</f>
        <v>-9.2486640000000007E-11</v>
      </c>
      <c r="I21" s="82">
        <f>0.1682031*0.0000000000001</f>
        <v>1.6820309999999999E-14</v>
      </c>
      <c r="J21" s="83"/>
    </row>
    <row r="22" spans="1:16" x14ac:dyDescent="0.25">
      <c r="A22" s="53" t="s">
        <v>437</v>
      </c>
      <c r="B22" s="84" t="s">
        <v>438</v>
      </c>
      <c r="C22" s="85" t="s">
        <v>439</v>
      </c>
      <c r="D22" s="86"/>
      <c r="E22" s="86"/>
      <c r="F22" s="86"/>
      <c r="G22" s="86"/>
      <c r="H22" s="86"/>
      <c r="I22" s="86"/>
      <c r="J22" s="87">
        <f>N22+273.15</f>
        <v>293.14999999999998</v>
      </c>
      <c r="L22" s="88" t="s">
        <v>440</v>
      </c>
      <c r="N22" s="43">
        <v>20</v>
      </c>
      <c r="P22" s="42">
        <v>318.14999999999998</v>
      </c>
    </row>
    <row r="23" spans="1:16" x14ac:dyDescent="0.25">
      <c r="A23" s="53" t="s">
        <v>441</v>
      </c>
      <c r="B23" s="53" t="s">
        <v>442</v>
      </c>
      <c r="C23" s="9" t="s">
        <v>424</v>
      </c>
      <c r="D23" s="17">
        <f>D21</f>
        <v>-131.06580000000002</v>
      </c>
      <c r="E23" s="17">
        <f>E21*J22</f>
        <v>134.30080949999999</v>
      </c>
      <c r="F23" s="17">
        <f>F21*(J22^2)</f>
        <v>-9.2384769795174986</v>
      </c>
      <c r="G23" s="17">
        <f>G21*(J22^3)</f>
        <v>4.4813466063984322</v>
      </c>
      <c r="H23" s="17">
        <f>H21*(J22^4)</f>
        <v>-0.68302813934521034</v>
      </c>
      <c r="I23" s="17">
        <f>I21*(J22^5)</f>
        <v>3.641526613153747E-2</v>
      </c>
      <c r="J23" s="75">
        <f>(D23+E23+F23+G23+H23+I23)*2323.7</f>
        <v>-5039.4866063534755</v>
      </c>
      <c r="P23" s="42">
        <v>20082.697617251881</v>
      </c>
    </row>
    <row r="24" spans="1:16" x14ac:dyDescent="0.25">
      <c r="A24" s="53" t="s">
        <v>443</v>
      </c>
      <c r="B24" s="53" t="s">
        <v>444</v>
      </c>
      <c r="C24" s="1" t="s">
        <v>439</v>
      </c>
      <c r="D24" s="1"/>
      <c r="E24" s="1"/>
      <c r="F24" s="1"/>
      <c r="G24" s="1"/>
      <c r="H24" s="1"/>
      <c r="I24" s="1"/>
      <c r="J24" s="75">
        <f>N24+273.15</f>
        <v>423.15</v>
      </c>
      <c r="L24" s="88" t="s">
        <v>445</v>
      </c>
      <c r="N24" s="42">
        <v>150</v>
      </c>
      <c r="P24" s="42">
        <v>406.08648648648648</v>
      </c>
    </row>
    <row r="25" spans="1:16" x14ac:dyDescent="0.25">
      <c r="A25" s="53" t="s">
        <v>446</v>
      </c>
      <c r="B25" s="53" t="s">
        <v>447</v>
      </c>
      <c r="C25" s="9" t="s">
        <v>424</v>
      </c>
      <c r="D25" s="17">
        <f>D21</f>
        <v>-131.06580000000002</v>
      </c>
      <c r="E25" s="17">
        <f>E21*J24</f>
        <v>193.85770949999997</v>
      </c>
      <c r="F25" s="17">
        <f>F21*(J24^2)</f>
        <v>-19.249048836517499</v>
      </c>
      <c r="G25" s="17">
        <f>G21*(J24^3)</f>
        <v>13.477889004278351</v>
      </c>
      <c r="H25" s="17">
        <f>H21*(J24^4)</f>
        <v>-2.9652163275927674</v>
      </c>
      <c r="I25" s="17">
        <f>I21*(J24^5)</f>
        <v>0.22819478843680327</v>
      </c>
      <c r="J25" s="75">
        <f>(D25+E25+F25+G25+H25+I25)*2323.7</f>
        <v>126139.09905243904</v>
      </c>
      <c r="P25" s="42">
        <v>108817.97943479881</v>
      </c>
    </row>
    <row r="26" spans="1:16" x14ac:dyDescent="0.25">
      <c r="A26" s="53" t="s">
        <v>448</v>
      </c>
      <c r="B26" s="53" t="s">
        <v>449</v>
      </c>
      <c r="C26" s="1" t="s">
        <v>439</v>
      </c>
      <c r="D26" s="17"/>
      <c r="E26" s="17"/>
      <c r="F26" s="17"/>
      <c r="G26" s="17"/>
      <c r="H26" s="17"/>
      <c r="I26" s="17"/>
      <c r="J26" s="83">
        <f>N175+273.15</f>
        <v>312.71599999999995</v>
      </c>
      <c r="P26" s="42">
        <v>302.5277027027027</v>
      </c>
    </row>
    <row r="27" spans="1:16" x14ac:dyDescent="0.25">
      <c r="A27" s="53" t="s">
        <v>450</v>
      </c>
      <c r="B27" s="53" t="s">
        <v>451</v>
      </c>
      <c r="C27" s="9" t="s">
        <v>424</v>
      </c>
      <c r="D27" s="17">
        <f>D21</f>
        <v>-131.06580000000002</v>
      </c>
      <c r="E27" s="17">
        <f>E21*J26</f>
        <v>143.26458107999997</v>
      </c>
      <c r="F27" s="17">
        <f>F21*(J26^2)</f>
        <v>-10.512857764409967</v>
      </c>
      <c r="G27" s="17">
        <f>G21*(J26^3)</f>
        <v>5.4398778362238183</v>
      </c>
      <c r="H27" s="17">
        <f>H21*(J26^4)</f>
        <v>-0.88446247388402166</v>
      </c>
      <c r="I27" s="17">
        <f>I21*(J26^5)</f>
        <v>5.0301913640518996E-2</v>
      </c>
      <c r="J27" s="83">
        <f>(D27+E27+F27+G27+H27+I27)*2323.7</f>
        <v>14619.885242631894</v>
      </c>
      <c r="P27" s="42">
        <v>4381.2204062483315</v>
      </c>
    </row>
    <row r="28" spans="1:16" x14ac:dyDescent="0.25">
      <c r="A28" s="53" t="s">
        <v>448</v>
      </c>
      <c r="B28" s="53" t="s">
        <v>452</v>
      </c>
      <c r="C28" s="1" t="s">
        <v>439</v>
      </c>
      <c r="D28" s="17"/>
      <c r="E28" s="17"/>
      <c r="F28" s="17"/>
      <c r="G28" s="17"/>
      <c r="H28" s="17"/>
      <c r="I28" s="17"/>
      <c r="J28" s="83">
        <f>N157+273.15</f>
        <v>565.98759999999982</v>
      </c>
      <c r="P28" s="42">
        <v>551.54986486486484</v>
      </c>
    </row>
    <row r="29" spans="1:16" x14ac:dyDescent="0.25">
      <c r="A29" s="53" t="s">
        <v>450</v>
      </c>
      <c r="B29" s="53" t="s">
        <v>453</v>
      </c>
      <c r="C29" s="9" t="s">
        <v>424</v>
      </c>
      <c r="D29" s="17">
        <f>D21</f>
        <v>-131.06580000000002</v>
      </c>
      <c r="E29" s="17">
        <f>E21*J28</f>
        <v>259.29589918799991</v>
      </c>
      <c r="F29" s="17">
        <f>F21*(J28^2)</f>
        <v>-34.437722086419242</v>
      </c>
      <c r="G29" s="17">
        <f>G21*(J28^3)</f>
        <v>32.252218201680208</v>
      </c>
      <c r="H29" s="17">
        <f>H21*(J28^4)</f>
        <v>-9.4908840579083336</v>
      </c>
      <c r="I29" s="17">
        <f>I21*(J28^5)</f>
        <v>0.97694154395382826</v>
      </c>
      <c r="J29" s="83">
        <f>(D29+E29+F29+G29+H29+I29)*2323.7</f>
        <v>273105.97788651113</v>
      </c>
      <c r="P29" s="42">
        <v>258067.0156271169</v>
      </c>
    </row>
    <row r="30" spans="1:16" x14ac:dyDescent="0.25">
      <c r="A30" s="53" t="s">
        <v>448</v>
      </c>
      <c r="B30" s="53" t="s">
        <v>454</v>
      </c>
      <c r="C30" s="1" t="s">
        <v>439</v>
      </c>
      <c r="D30" s="17"/>
      <c r="E30" s="17"/>
      <c r="F30" s="17"/>
      <c r="G30" s="17"/>
      <c r="H30" s="17"/>
      <c r="I30" s="17"/>
      <c r="J30" s="83">
        <f>N16+273.15</f>
        <v>571.15</v>
      </c>
      <c r="P30" s="42">
        <v>571.15</v>
      </c>
    </row>
    <row r="31" spans="1:16" ht="15.75" thickBot="1" x14ac:dyDescent="0.3">
      <c r="A31" s="53" t="s">
        <v>450</v>
      </c>
      <c r="B31" s="89" t="s">
        <v>455</v>
      </c>
      <c r="C31" s="90" t="s">
        <v>424</v>
      </c>
      <c r="D31" s="91">
        <f>D21</f>
        <v>-131.06580000000002</v>
      </c>
      <c r="E31" s="91">
        <f>E21*J30</f>
        <v>261.66094949999996</v>
      </c>
      <c r="F31" s="91">
        <f>F21*(J30^2)</f>
        <v>-35.068803305717495</v>
      </c>
      <c r="G31" s="91">
        <f>G21*(J30^3)</f>
        <v>33.142814280712621</v>
      </c>
      <c r="H31" s="91">
        <f>H21*(J30^4)</f>
        <v>-9.8419176425089407</v>
      </c>
      <c r="I31" s="91">
        <f>I21*(J30^5)</f>
        <v>1.0223153959776281</v>
      </c>
      <c r="J31" s="92">
        <f>(D31+E31+F31+G31+H31+I31)*2323.7</f>
        <v>278494.41845548118</v>
      </c>
      <c r="P31" s="42">
        <v>278494.41845548118</v>
      </c>
    </row>
    <row r="32" spans="1:16" ht="15.75" thickBot="1" x14ac:dyDescent="0.3">
      <c r="A32" s="53"/>
      <c r="B32" s="1"/>
      <c r="C32" s="1"/>
      <c r="D32" s="1"/>
      <c r="E32" s="1"/>
      <c r="F32" s="1"/>
      <c r="G32" s="1"/>
      <c r="H32" s="1"/>
      <c r="I32" s="1"/>
      <c r="J32" s="54"/>
    </row>
    <row r="33" spans="1:14" ht="18.75" x14ac:dyDescent="0.3">
      <c r="A33" s="72">
        <v>3</v>
      </c>
      <c r="B33" s="93" t="s">
        <v>456</v>
      </c>
      <c r="C33" s="94"/>
      <c r="D33" s="85"/>
      <c r="E33" s="85"/>
      <c r="F33" s="85"/>
      <c r="G33" s="85"/>
      <c r="H33" s="85"/>
      <c r="I33" s="85"/>
      <c r="J33" s="95"/>
    </row>
    <row r="34" spans="1:14" x14ac:dyDescent="0.25">
      <c r="A34" s="53"/>
      <c r="B34" s="53"/>
      <c r="C34" s="1"/>
      <c r="D34" s="96" t="s">
        <v>457</v>
      </c>
      <c r="E34" s="96" t="s">
        <v>458</v>
      </c>
      <c r="F34" s="96" t="s">
        <v>459</v>
      </c>
      <c r="G34" s="96" t="s">
        <v>460</v>
      </c>
      <c r="H34" s="96" t="s">
        <v>461</v>
      </c>
      <c r="I34" s="96" t="s">
        <v>462</v>
      </c>
      <c r="J34" s="54"/>
    </row>
    <row r="35" spans="1:14" x14ac:dyDescent="0.25">
      <c r="A35" s="53"/>
      <c r="B35" s="53"/>
      <c r="C35" s="1"/>
      <c r="D35" s="17">
        <f>-0.2394034*1000</f>
        <v>-239.40339999999998</v>
      </c>
      <c r="E35" s="17">
        <f>0.8274589*1</f>
        <v>0.8274589</v>
      </c>
      <c r="F35" s="17">
        <f>-0.1797539*0.001</f>
        <v>-1.7975390000000001E-4</v>
      </c>
      <c r="G35" s="17">
        <f>0.3934614*0.000001</f>
        <v>3.9346139999999997E-7</v>
      </c>
      <c r="H35" s="17">
        <f>-0.2415873*0.000000001</f>
        <v>-2.4158730000000001E-10</v>
      </c>
      <c r="I35" s="17">
        <f>0.6069264*0.0000000000001</f>
        <v>6.0692639999999996E-14</v>
      </c>
      <c r="J35" s="54"/>
    </row>
    <row r="36" spans="1:14" x14ac:dyDescent="0.25">
      <c r="A36" s="53" t="s">
        <v>463</v>
      </c>
      <c r="B36" s="53" t="s">
        <v>464</v>
      </c>
      <c r="C36" s="1" t="s">
        <v>439</v>
      </c>
      <c r="D36" s="1"/>
      <c r="E36" s="1"/>
      <c r="F36" s="1"/>
      <c r="G36" s="1"/>
      <c r="H36" s="1"/>
      <c r="I36" s="1"/>
      <c r="J36" s="77">
        <f>N36+273.15</f>
        <v>307.94088954073493</v>
      </c>
      <c r="L36" s="88" t="s">
        <v>465</v>
      </c>
      <c r="N36" s="43">
        <f>J175</f>
        <v>34.790889540734959</v>
      </c>
    </row>
    <row r="37" spans="1:14" x14ac:dyDescent="0.25">
      <c r="A37" s="53" t="s">
        <v>466</v>
      </c>
      <c r="B37" s="53" t="s">
        <v>467</v>
      </c>
      <c r="C37" s="9" t="s">
        <v>424</v>
      </c>
      <c r="D37" s="17">
        <f>D35</f>
        <v>-239.40339999999998</v>
      </c>
      <c r="E37" s="17">
        <f>E35*J36</f>
        <v>254.80842972439802</v>
      </c>
      <c r="F37" s="17">
        <f>F35*(J36^2)</f>
        <v>-17.045629390948918</v>
      </c>
      <c r="G37" s="17">
        <f>G35*(J36^3)</f>
        <v>11.489581572264049</v>
      </c>
      <c r="H37" s="17">
        <f>H35*(J36^4)</f>
        <v>-2.1724187376068</v>
      </c>
      <c r="I37" s="17">
        <f>I35*(J36^5)</f>
        <v>0.1680632774748704</v>
      </c>
      <c r="J37" s="75">
        <f>(D37+E37+F37+G37+H37+I37)*2323.7</f>
        <v>18228.558471597149</v>
      </c>
    </row>
    <row r="38" spans="1:14" x14ac:dyDescent="0.25">
      <c r="A38" s="53" t="s">
        <v>468</v>
      </c>
      <c r="B38" s="53" t="s">
        <v>464</v>
      </c>
      <c r="C38" s="1" t="s">
        <v>439</v>
      </c>
      <c r="D38" s="1"/>
      <c r="E38" s="1"/>
      <c r="F38" s="1"/>
      <c r="G38" s="1"/>
      <c r="H38" s="1"/>
      <c r="I38" s="1"/>
      <c r="J38" s="77">
        <f>N38+273.15</f>
        <v>450.96344283835572</v>
      </c>
      <c r="L38" s="88" t="s">
        <v>465</v>
      </c>
      <c r="N38" s="43">
        <f>J199</f>
        <v>177.81344283835574</v>
      </c>
    </row>
    <row r="39" spans="1:14" ht="15.75" thickBot="1" x14ac:dyDescent="0.3">
      <c r="A39" s="53" t="s">
        <v>469</v>
      </c>
      <c r="B39" s="89" t="s">
        <v>467</v>
      </c>
      <c r="C39" s="90" t="s">
        <v>424</v>
      </c>
      <c r="D39" s="91">
        <f>D37</f>
        <v>-239.40339999999998</v>
      </c>
      <c r="E39" s="91">
        <f>E35*J38</f>
        <v>373.1537143512387</v>
      </c>
      <c r="F39" s="91">
        <f>F35*(J38^2)</f>
        <v>-36.556195948402397</v>
      </c>
      <c r="G39" s="91">
        <f>G35*(J38^3)</f>
        <v>36.084953095844718</v>
      </c>
      <c r="H39" s="91">
        <f>H35*(J38^4)</f>
        <v>-9.9917014688683601</v>
      </c>
      <c r="I39" s="91">
        <f>I35*(J38^5)</f>
        <v>1.1319903271114506</v>
      </c>
      <c r="J39" s="97">
        <f>(D39+E39+F39+G39+H39+I39)*2323.7</f>
        <v>289113.2676613846</v>
      </c>
    </row>
    <row r="40" spans="1:14" ht="15.75" thickBot="1" x14ac:dyDescent="0.3">
      <c r="A40" s="53"/>
      <c r="B40" s="1"/>
      <c r="C40" s="1"/>
      <c r="D40" s="1"/>
      <c r="E40" s="1"/>
      <c r="F40" s="1"/>
      <c r="G40" s="1"/>
      <c r="H40" s="1"/>
      <c r="I40" s="1"/>
      <c r="J40" s="54"/>
    </row>
    <row r="41" spans="1:14" ht="18.75" x14ac:dyDescent="0.3">
      <c r="A41" s="72">
        <v>4</v>
      </c>
      <c r="B41" s="93" t="s">
        <v>470</v>
      </c>
      <c r="C41" s="94"/>
      <c r="D41" s="85"/>
      <c r="E41" s="85"/>
      <c r="F41" s="85"/>
      <c r="G41" s="85"/>
      <c r="H41" s="85"/>
      <c r="I41" s="85"/>
      <c r="J41" s="95"/>
    </row>
    <row r="42" spans="1:14" ht="15" customHeight="1" x14ac:dyDescent="0.3">
      <c r="A42" s="53"/>
      <c r="B42" s="73"/>
      <c r="C42" s="74"/>
      <c r="D42" s="96" t="s">
        <v>457</v>
      </c>
      <c r="E42" s="96" t="s">
        <v>458</v>
      </c>
      <c r="F42" s="96" t="s">
        <v>459</v>
      </c>
      <c r="G42" s="96" t="s">
        <v>460</v>
      </c>
      <c r="H42" s="96" t="s">
        <v>461</v>
      </c>
      <c r="I42" s="96" t="s">
        <v>462</v>
      </c>
      <c r="J42" s="54"/>
    </row>
    <row r="43" spans="1:14" ht="15" customHeight="1" x14ac:dyDescent="0.3">
      <c r="A43" s="53"/>
      <c r="B43" s="73"/>
      <c r="C43" s="74"/>
      <c r="D43" s="82">
        <f>-0.1231899*1000</f>
        <v>-123.18990000000001</v>
      </c>
      <c r="E43" s="82">
        <f>0.4065568*1</f>
        <v>0.4065568</v>
      </c>
      <c r="F43" s="82">
        <f>0.579505*0.00001</f>
        <v>5.7950500000000005E-6</v>
      </c>
      <c r="G43" s="82">
        <f>0.6331121*0.0000001</f>
        <v>6.3311209999999998E-8</v>
      </c>
      <c r="H43" s="82">
        <f>-0.2924434*0.0000000001</f>
        <v>-2.9244340000000005E-11</v>
      </c>
      <c r="I43" s="82">
        <f>0.2491009*0.00000000000001</f>
        <v>2.491009E-15</v>
      </c>
      <c r="J43" s="83"/>
    </row>
    <row r="44" spans="1:14" x14ac:dyDescent="0.25">
      <c r="A44" s="53" t="s">
        <v>471</v>
      </c>
      <c r="B44" s="53" t="s">
        <v>472</v>
      </c>
      <c r="C44" s="1" t="s">
        <v>439</v>
      </c>
      <c r="D44" s="17"/>
      <c r="E44" s="17"/>
      <c r="F44" s="17"/>
      <c r="G44" s="17"/>
      <c r="H44" s="17"/>
      <c r="I44" s="17"/>
      <c r="J44" s="75">
        <f>N44+273.15</f>
        <v>450.96344283835572</v>
      </c>
      <c r="L44" s="88" t="s">
        <v>473</v>
      </c>
      <c r="N44" s="43">
        <f>J199</f>
        <v>177.81344283835574</v>
      </c>
    </row>
    <row r="45" spans="1:14" ht="15.75" thickBot="1" x14ac:dyDescent="0.3">
      <c r="A45" s="53" t="s">
        <v>474</v>
      </c>
      <c r="B45" s="89" t="s">
        <v>475</v>
      </c>
      <c r="C45" s="90" t="s">
        <v>424</v>
      </c>
      <c r="D45" s="91">
        <f>D43</f>
        <v>-123.18990000000001</v>
      </c>
      <c r="E45" s="91">
        <f>E43*J44</f>
        <v>183.3422542373448</v>
      </c>
      <c r="F45" s="91">
        <f>F43*(J44^2)</f>
        <v>1.1785278835718689</v>
      </c>
      <c r="G45" s="91">
        <f>G43*(J44^3)</f>
        <v>5.8063689177418034</v>
      </c>
      <c r="H45" s="91">
        <f>H43*(J44^4)</f>
        <v>-1.2095036242968309</v>
      </c>
      <c r="I45" s="91">
        <f>I43*(J44^5)</f>
        <v>4.6460297208155192E-2</v>
      </c>
      <c r="J45" s="97">
        <f>(D45+E45+F45+G45+H45+I45)*2323.7</f>
        <v>153304.26645937472</v>
      </c>
    </row>
    <row r="46" spans="1:14" ht="15.75" thickBot="1" x14ac:dyDescent="0.3">
      <c r="A46" s="53"/>
      <c r="B46" s="1"/>
      <c r="C46" s="1"/>
      <c r="D46" s="1"/>
      <c r="E46" s="1"/>
      <c r="F46" s="1"/>
      <c r="G46" s="1"/>
      <c r="H46" s="1"/>
      <c r="I46" s="1"/>
      <c r="J46" s="54"/>
    </row>
    <row r="47" spans="1:14" ht="18.75" x14ac:dyDescent="0.3">
      <c r="A47" s="72">
        <v>5</v>
      </c>
      <c r="B47" s="93" t="s">
        <v>476</v>
      </c>
      <c r="C47" s="94"/>
      <c r="D47" s="85"/>
      <c r="E47" s="85"/>
      <c r="F47" s="85"/>
      <c r="G47" s="85"/>
      <c r="H47" s="85"/>
      <c r="I47" s="85"/>
      <c r="J47" s="95"/>
    </row>
    <row r="48" spans="1:14" x14ac:dyDescent="0.25">
      <c r="A48" s="53"/>
      <c r="B48" s="53"/>
      <c r="C48" s="1"/>
      <c r="D48" s="96" t="s">
        <v>457</v>
      </c>
      <c r="E48" s="96" t="s">
        <v>458</v>
      </c>
      <c r="F48" s="96" t="s">
        <v>459</v>
      </c>
      <c r="G48" s="96" t="s">
        <v>460</v>
      </c>
      <c r="H48" s="96" t="s">
        <v>461</v>
      </c>
      <c r="I48" s="96" t="s">
        <v>462</v>
      </c>
      <c r="J48" s="54"/>
    </row>
    <row r="49" spans="1:14" x14ac:dyDescent="0.25">
      <c r="A49" s="53"/>
      <c r="B49" s="53"/>
      <c r="C49" s="1"/>
      <c r="D49" s="17">
        <f>-0.3230338*100</f>
        <v>-32.303379999999997</v>
      </c>
      <c r="E49" s="17">
        <f>-0.2431404*1</f>
        <v>-0.24314040000000001</v>
      </c>
      <c r="F49" s="17">
        <f>0.1787701*0.01</f>
        <v>1.7877009999999998E-3</v>
      </c>
      <c r="G49" s="17">
        <f>-0.259823*0.00001</f>
        <v>-2.5982300000000004E-6</v>
      </c>
      <c r="H49" s="17">
        <f>0.2054892*0.00000001</f>
        <v>2.0548920000000004E-9</v>
      </c>
      <c r="I49" s="17">
        <f>-0.6366886*0.000000000001</f>
        <v>-6.3668859999999999E-13</v>
      </c>
      <c r="J49" s="54"/>
    </row>
    <row r="50" spans="1:14" x14ac:dyDescent="0.25">
      <c r="A50" s="53" t="s">
        <v>477</v>
      </c>
      <c r="B50" s="53" t="s">
        <v>464</v>
      </c>
      <c r="C50" s="1" t="s">
        <v>439</v>
      </c>
      <c r="D50" s="1"/>
      <c r="E50" s="1"/>
      <c r="F50" s="1"/>
      <c r="G50" s="1"/>
      <c r="H50" s="1"/>
      <c r="I50" s="1"/>
      <c r="J50" s="75">
        <f>N50+273.15</f>
        <v>307.94088954073493</v>
      </c>
      <c r="L50" s="88" t="s">
        <v>465</v>
      </c>
      <c r="N50" s="43">
        <f>J175</f>
        <v>34.790889540734959</v>
      </c>
    </row>
    <row r="51" spans="1:14" x14ac:dyDescent="0.25">
      <c r="A51" s="53" t="s">
        <v>478</v>
      </c>
      <c r="B51" s="53" t="s">
        <v>479</v>
      </c>
      <c r="C51" s="9" t="s">
        <v>424</v>
      </c>
      <c r="D51" s="17">
        <f>D49</f>
        <v>-32.303379999999997</v>
      </c>
      <c r="E51" s="17">
        <f>E49*J50</f>
        <v>-74.872871059290105</v>
      </c>
      <c r="F51" s="17">
        <f>F49*(J50^2)</f>
        <v>169.52338006479283</v>
      </c>
      <c r="G51" s="17">
        <f>G49*(J50^3)</f>
        <v>-75.871675159249747</v>
      </c>
      <c r="H51" s="17">
        <f>H49*(J50^4)</f>
        <v>18.478148000984792</v>
      </c>
      <c r="I51" s="17">
        <f>I49*(J50^5)</f>
        <v>-1.7630469336461023</v>
      </c>
      <c r="J51" s="75">
        <f>(D51+E51+F51+G51+H51+I51)*2323.7</f>
        <v>7413.8924527129502</v>
      </c>
    </row>
    <row r="52" spans="1:14" x14ac:dyDescent="0.25">
      <c r="A52" s="53" t="s">
        <v>480</v>
      </c>
      <c r="B52" s="53" t="s">
        <v>464</v>
      </c>
      <c r="C52" s="1" t="s">
        <v>439</v>
      </c>
      <c r="D52" s="1"/>
      <c r="E52" s="1"/>
      <c r="F52" s="1"/>
      <c r="G52" s="1"/>
      <c r="H52" s="1"/>
      <c r="I52" s="1"/>
      <c r="J52" s="75">
        <f>N52+273.15</f>
        <v>450.96344283835572</v>
      </c>
      <c r="L52" s="88" t="s">
        <v>465</v>
      </c>
      <c r="N52" s="43">
        <f>J199</f>
        <v>177.81344283835574</v>
      </c>
    </row>
    <row r="53" spans="1:14" ht="15.75" thickBot="1" x14ac:dyDescent="0.3">
      <c r="A53" s="53" t="s">
        <v>481</v>
      </c>
      <c r="B53" s="89" t="s">
        <v>479</v>
      </c>
      <c r="C53" s="90" t="s">
        <v>424</v>
      </c>
      <c r="D53" s="91">
        <f>D51</f>
        <v>-32.303379999999997</v>
      </c>
      <c r="E53" s="91">
        <f>E49*J52</f>
        <v>-109.64743187709495</v>
      </c>
      <c r="F53" s="91">
        <f>F49*(J52^2)</f>
        <v>363.56122483659556</v>
      </c>
      <c r="G53" s="91">
        <f>G49*(J52^3)</f>
        <v>-238.28768891234725</v>
      </c>
      <c r="H53" s="91">
        <f>H49*(J52^4)</f>
        <v>84.987362393494379</v>
      </c>
      <c r="I53" s="91">
        <f>I49*(J52^5)</f>
        <v>-11.875003898036592</v>
      </c>
      <c r="J53" s="97">
        <f>(D53+E53+F53+G53+H53+I53)*2323.7</f>
        <v>131138.20130426553</v>
      </c>
    </row>
    <row r="54" spans="1:14" ht="15.75" thickBot="1" x14ac:dyDescent="0.3">
      <c r="A54" s="53"/>
      <c r="B54" s="1"/>
      <c r="C54" s="1"/>
      <c r="D54" s="1"/>
      <c r="E54" s="1"/>
      <c r="F54" s="1"/>
      <c r="G54" s="1"/>
      <c r="H54" s="1"/>
      <c r="I54" s="1"/>
      <c r="J54" s="54"/>
    </row>
    <row r="55" spans="1:14" ht="18.75" x14ac:dyDescent="0.3">
      <c r="A55" s="72">
        <v>6</v>
      </c>
      <c r="B55" s="93" t="s">
        <v>482</v>
      </c>
      <c r="C55" s="85"/>
      <c r="D55" s="85"/>
      <c r="E55" s="85"/>
      <c r="F55" s="85"/>
      <c r="G55" s="85"/>
      <c r="H55" s="85"/>
      <c r="I55" s="85"/>
      <c r="J55" s="95"/>
    </row>
    <row r="56" spans="1:14" x14ac:dyDescent="0.25">
      <c r="A56" s="53" t="s">
        <v>483</v>
      </c>
      <c r="B56" s="53" t="s">
        <v>11</v>
      </c>
      <c r="C56" s="1"/>
      <c r="D56" s="1"/>
      <c r="E56" s="1"/>
      <c r="F56" s="1"/>
      <c r="G56" s="1"/>
      <c r="H56" s="1"/>
      <c r="I56" s="1"/>
      <c r="J56" s="75">
        <f>(N56*9/5)+32</f>
        <v>352.06419710904032</v>
      </c>
      <c r="L56" s="88" t="s">
        <v>465</v>
      </c>
      <c r="N56" s="43">
        <f>J199</f>
        <v>177.81344283835574</v>
      </c>
    </row>
    <row r="57" spans="1:14" ht="15.75" thickBot="1" x14ac:dyDescent="0.3">
      <c r="A57" s="53" t="s">
        <v>484</v>
      </c>
      <c r="B57" s="89" t="s">
        <v>485</v>
      </c>
      <c r="C57" s="90" t="s">
        <v>424</v>
      </c>
      <c r="D57" s="98">
        <f>0.4329*J56</f>
        <v>152.40859092850357</v>
      </c>
      <c r="E57" s="91">
        <f>3.958*0.00001*(J56^2)</f>
        <v>4.905909291909194</v>
      </c>
      <c r="F57" s="98">
        <f>1062.2</f>
        <v>1062.2</v>
      </c>
      <c r="G57" s="98"/>
      <c r="H57" s="98"/>
      <c r="I57" s="98"/>
      <c r="J57" s="97">
        <f>(D57+E57+F57)*2323.7</f>
        <v>2833785.8441621731</v>
      </c>
    </row>
    <row r="58" spans="1:14" x14ac:dyDescent="0.25">
      <c r="A58" s="53"/>
      <c r="B58" s="1"/>
      <c r="C58" s="1"/>
      <c r="D58" s="1"/>
      <c r="E58" s="1"/>
      <c r="F58" s="1"/>
      <c r="G58" s="1"/>
      <c r="H58" s="1"/>
      <c r="I58" s="1"/>
      <c r="J58" s="54"/>
    </row>
    <row r="59" spans="1:14" x14ac:dyDescent="0.25">
      <c r="A59" s="53"/>
      <c r="B59" s="9"/>
      <c r="C59" s="9"/>
      <c r="D59" s="9"/>
      <c r="E59" s="9"/>
      <c r="F59" s="9"/>
      <c r="G59" s="9"/>
      <c r="H59" s="9"/>
      <c r="I59" s="9"/>
      <c r="J59" s="148"/>
      <c r="L59" s="71"/>
      <c r="M59" s="71"/>
      <c r="N59" s="71"/>
    </row>
    <row r="60" spans="1:14" ht="15.75" thickBot="1" x14ac:dyDescent="0.3">
      <c r="A60" s="53"/>
      <c r="B60" s="1"/>
      <c r="C60" s="1"/>
      <c r="D60" s="1"/>
      <c r="E60" s="1"/>
      <c r="F60" s="1"/>
      <c r="G60" s="1"/>
      <c r="H60" s="1"/>
      <c r="I60" s="1"/>
      <c r="J60" s="54"/>
    </row>
    <row r="61" spans="1:14" ht="18.75" x14ac:dyDescent="0.3">
      <c r="A61" s="72">
        <v>7</v>
      </c>
      <c r="B61" s="93" t="s">
        <v>486</v>
      </c>
      <c r="C61" s="85"/>
      <c r="D61" s="85"/>
      <c r="E61" s="85"/>
      <c r="F61" s="85"/>
      <c r="G61" s="85"/>
      <c r="H61" s="85"/>
      <c r="I61" s="85"/>
      <c r="J61" s="95"/>
    </row>
    <row r="62" spans="1:14" x14ac:dyDescent="0.25">
      <c r="A62" s="53"/>
      <c r="B62" s="53"/>
      <c r="C62" s="1"/>
      <c r="D62" s="1"/>
      <c r="E62" s="1"/>
      <c r="F62" s="1"/>
      <c r="G62" s="1"/>
      <c r="H62" s="1"/>
      <c r="I62" s="1"/>
      <c r="J62" s="54"/>
      <c r="L62" s="88" t="s">
        <v>487</v>
      </c>
      <c r="M62" s="42" t="s">
        <v>1</v>
      </c>
      <c r="N62" s="42">
        <f>N8</f>
        <v>41.443637497401788</v>
      </c>
    </row>
    <row r="63" spans="1:14" s="71" customFormat="1" x14ac:dyDescent="0.25">
      <c r="A63" s="99" t="s">
        <v>488</v>
      </c>
      <c r="B63" s="99" t="s">
        <v>489</v>
      </c>
      <c r="C63" s="100" t="s">
        <v>435</v>
      </c>
      <c r="D63" s="100"/>
      <c r="E63" s="100"/>
      <c r="F63" s="100"/>
      <c r="G63" s="100"/>
      <c r="H63" s="100"/>
      <c r="I63" s="100"/>
      <c r="J63" s="101">
        <f>4.186*N63</f>
        <v>13019.699007274994</v>
      </c>
      <c r="K63" s="102"/>
      <c r="L63" s="102" t="s">
        <v>490</v>
      </c>
      <c r="M63" s="71" t="s">
        <v>260</v>
      </c>
      <c r="N63" s="71">
        <f>N6</f>
        <v>3110.2959883600083</v>
      </c>
    </row>
    <row r="64" spans="1:14" x14ac:dyDescent="0.25">
      <c r="A64" s="53" t="s">
        <v>491</v>
      </c>
      <c r="B64" s="53" t="s">
        <v>492</v>
      </c>
      <c r="C64" s="1" t="s">
        <v>1</v>
      </c>
      <c r="D64" s="1"/>
      <c r="E64" s="1"/>
      <c r="F64" s="1"/>
      <c r="G64" s="1"/>
      <c r="H64" s="1"/>
      <c r="I64" s="1"/>
      <c r="J64" s="77">
        <f>N64</f>
        <v>2.5099999999999998</v>
      </c>
      <c r="L64" s="76" t="s">
        <v>261</v>
      </c>
      <c r="M64" s="42" t="s">
        <v>1</v>
      </c>
      <c r="N64" s="42">
        <f>Inputs!C9</f>
        <v>2.5099999999999998</v>
      </c>
    </row>
    <row r="65" spans="1:14" x14ac:dyDescent="0.25">
      <c r="A65" s="53" t="s">
        <v>493</v>
      </c>
      <c r="B65" s="53" t="s">
        <v>494</v>
      </c>
      <c r="C65" s="1" t="s">
        <v>1</v>
      </c>
      <c r="D65" s="1"/>
      <c r="E65" s="1"/>
      <c r="F65" s="1"/>
      <c r="G65" s="1"/>
      <c r="H65" s="1"/>
      <c r="I65" s="1"/>
      <c r="J65" s="77">
        <f>N65</f>
        <v>10</v>
      </c>
      <c r="L65" s="76" t="s">
        <v>262</v>
      </c>
      <c r="M65" s="42" t="s">
        <v>1</v>
      </c>
      <c r="N65" s="42">
        <f>Inputs!C10</f>
        <v>10</v>
      </c>
    </row>
    <row r="66" spans="1:14" x14ac:dyDescent="0.25">
      <c r="A66" s="53" t="s">
        <v>495</v>
      </c>
      <c r="B66" s="53" t="s">
        <v>496</v>
      </c>
      <c r="C66" s="1" t="s">
        <v>497</v>
      </c>
      <c r="D66" s="1"/>
      <c r="E66" s="1"/>
      <c r="F66" s="1"/>
      <c r="G66" s="1"/>
      <c r="H66" s="1"/>
      <c r="I66" s="1"/>
      <c r="J66" s="77">
        <f>J64*J65/100</f>
        <v>0.251</v>
      </c>
      <c r="L66" s="76" t="s">
        <v>263</v>
      </c>
      <c r="M66" s="42" t="s">
        <v>1</v>
      </c>
      <c r="N66" s="42">
        <f>Inputs!C11</f>
        <v>0.74</v>
      </c>
    </row>
    <row r="67" spans="1:14" x14ac:dyDescent="0.25">
      <c r="A67" s="53"/>
      <c r="B67" s="53"/>
      <c r="C67" s="1"/>
      <c r="D67" s="1"/>
      <c r="E67" s="1"/>
      <c r="F67" s="1"/>
      <c r="G67" s="1"/>
      <c r="H67" s="1"/>
      <c r="I67" s="1"/>
      <c r="J67" s="77"/>
      <c r="L67" s="76" t="s">
        <v>264</v>
      </c>
      <c r="M67" s="42" t="s">
        <v>1</v>
      </c>
      <c r="N67" s="42">
        <f>Inputs!C12</f>
        <v>90</v>
      </c>
    </row>
    <row r="68" spans="1:14" x14ac:dyDescent="0.25">
      <c r="A68" s="53" t="s">
        <v>498</v>
      </c>
      <c r="B68" s="53" t="s">
        <v>499</v>
      </c>
      <c r="C68" s="1" t="s">
        <v>1</v>
      </c>
      <c r="D68" s="1"/>
      <c r="E68" s="1"/>
      <c r="F68" s="1"/>
      <c r="G68" s="1"/>
      <c r="H68" s="1"/>
      <c r="I68" s="1"/>
      <c r="J68" s="77">
        <f>N66</f>
        <v>0.74</v>
      </c>
      <c r="L68" s="88" t="s">
        <v>269</v>
      </c>
      <c r="M68" s="42" t="s">
        <v>270</v>
      </c>
      <c r="N68" s="42">
        <f>N11</f>
        <v>201.29679999999996</v>
      </c>
    </row>
    <row r="69" spans="1:14" x14ac:dyDescent="0.25">
      <c r="A69" s="53" t="s">
        <v>500</v>
      </c>
      <c r="B69" s="53" t="s">
        <v>501</v>
      </c>
      <c r="C69" s="1" t="s">
        <v>1</v>
      </c>
      <c r="D69" s="1"/>
      <c r="E69" s="1"/>
      <c r="F69" s="1"/>
      <c r="G69" s="1"/>
      <c r="H69" s="1"/>
      <c r="I69" s="1"/>
      <c r="J69" s="77">
        <f>N67</f>
        <v>90</v>
      </c>
      <c r="L69" s="76" t="s">
        <v>265</v>
      </c>
      <c r="M69" s="42" t="s">
        <v>266</v>
      </c>
      <c r="N69" s="42">
        <f>Inputs!C13</f>
        <v>1040</v>
      </c>
    </row>
    <row r="70" spans="1:14" x14ac:dyDescent="0.25">
      <c r="A70" s="53" t="s">
        <v>502</v>
      </c>
      <c r="B70" s="53" t="s">
        <v>503</v>
      </c>
      <c r="C70" s="1" t="s">
        <v>497</v>
      </c>
      <c r="D70" s="1"/>
      <c r="E70" s="1"/>
      <c r="F70" s="1"/>
      <c r="G70" s="1"/>
      <c r="H70" s="1"/>
      <c r="I70" s="1"/>
      <c r="J70" s="77">
        <f>J68*J69/100</f>
        <v>0.66599999999999993</v>
      </c>
      <c r="L70" s="88" t="s">
        <v>504</v>
      </c>
      <c r="M70" s="42" t="s">
        <v>266</v>
      </c>
      <c r="N70" s="42">
        <f>N174</f>
        <v>146.28699999999998</v>
      </c>
    </row>
    <row r="71" spans="1:14" x14ac:dyDescent="0.25">
      <c r="A71" s="53"/>
      <c r="B71" s="53"/>
      <c r="C71" s="1"/>
      <c r="D71" s="1"/>
      <c r="E71" s="1"/>
      <c r="F71" s="1"/>
      <c r="G71" s="1"/>
      <c r="H71" s="1"/>
      <c r="I71" s="1"/>
      <c r="J71" s="77"/>
    </row>
    <row r="72" spans="1:14" x14ac:dyDescent="0.25">
      <c r="A72" s="53" t="s">
        <v>505</v>
      </c>
      <c r="B72" s="53" t="s">
        <v>506</v>
      </c>
      <c r="C72" s="1" t="s">
        <v>497</v>
      </c>
      <c r="D72" s="1"/>
      <c r="E72" s="1"/>
      <c r="F72" s="1"/>
      <c r="G72" s="1"/>
      <c r="H72" s="1"/>
      <c r="I72" s="1"/>
      <c r="J72" s="77">
        <f>J66+J70</f>
        <v>0.91699999999999993</v>
      </c>
    </row>
    <row r="73" spans="1:14" x14ac:dyDescent="0.25">
      <c r="A73" s="53" t="s">
        <v>507</v>
      </c>
      <c r="B73" s="53" t="s">
        <v>508</v>
      </c>
      <c r="C73" s="1" t="s">
        <v>509</v>
      </c>
      <c r="D73" s="1"/>
      <c r="E73" s="1"/>
      <c r="F73" s="1"/>
      <c r="G73" s="1"/>
      <c r="H73" s="1"/>
      <c r="I73" s="1"/>
      <c r="J73" s="77">
        <f>(N62*J72)/(100-J72)</f>
        <v>0.38355535848851402</v>
      </c>
    </row>
    <row r="74" spans="1:14" x14ac:dyDescent="0.25">
      <c r="A74" s="53"/>
      <c r="B74" s="53"/>
      <c r="C74" s="1"/>
      <c r="D74" s="1"/>
      <c r="E74" s="1"/>
      <c r="F74" s="1"/>
      <c r="G74" s="1"/>
      <c r="H74" s="1"/>
      <c r="I74" s="1"/>
      <c r="J74" s="77"/>
    </row>
    <row r="75" spans="1:14" x14ac:dyDescent="0.25">
      <c r="A75" s="53" t="s">
        <v>510</v>
      </c>
      <c r="B75" s="53" t="s">
        <v>511</v>
      </c>
      <c r="C75" s="1" t="s">
        <v>509</v>
      </c>
      <c r="D75" s="1"/>
      <c r="E75" s="1"/>
      <c r="F75" s="1"/>
      <c r="G75" s="1"/>
      <c r="H75" s="1"/>
      <c r="I75" s="1"/>
      <c r="J75" s="75">
        <f>N62+J73</f>
        <v>41.827192855890303</v>
      </c>
    </row>
    <row r="76" spans="1:14" x14ac:dyDescent="0.25">
      <c r="A76" s="53" t="s">
        <v>512</v>
      </c>
      <c r="B76" s="53" t="s">
        <v>513</v>
      </c>
      <c r="C76" s="1" t="s">
        <v>270</v>
      </c>
      <c r="D76" s="1"/>
      <c r="E76" s="1"/>
      <c r="F76" s="1"/>
      <c r="G76" s="1"/>
      <c r="H76" s="1"/>
      <c r="I76" s="1"/>
      <c r="J76" s="77">
        <f>N68*J75/100</f>
        <v>84.196800748735768</v>
      </c>
    </row>
    <row r="77" spans="1:14" x14ac:dyDescent="0.25">
      <c r="A77" s="53" t="s">
        <v>514</v>
      </c>
      <c r="B77" s="53" t="s">
        <v>513</v>
      </c>
      <c r="C77" s="1" t="s">
        <v>515</v>
      </c>
      <c r="D77" s="1"/>
      <c r="E77" s="1"/>
      <c r="F77" s="1"/>
      <c r="G77" s="1"/>
      <c r="H77" s="1"/>
      <c r="I77" s="1"/>
      <c r="J77" s="103">
        <f>((J76*1000)/(J63*N68*1000))*1000</f>
        <v>3.2126082816905821E-2</v>
      </c>
    </row>
    <row r="78" spans="1:14" x14ac:dyDescent="0.25">
      <c r="A78" s="53"/>
      <c r="B78" s="53"/>
      <c r="C78" s="1"/>
      <c r="D78" s="1"/>
      <c r="E78" s="1"/>
      <c r="F78" s="1"/>
      <c r="G78" s="1"/>
      <c r="H78" s="1"/>
      <c r="I78" s="1"/>
      <c r="J78" s="77"/>
    </row>
    <row r="79" spans="1:14" x14ac:dyDescent="0.25">
      <c r="A79" s="53" t="s">
        <v>516</v>
      </c>
      <c r="B79" s="53" t="s">
        <v>517</v>
      </c>
      <c r="C79" s="1" t="s">
        <v>421</v>
      </c>
      <c r="D79" s="1"/>
      <c r="E79" s="1"/>
      <c r="F79" s="1"/>
      <c r="G79" s="1"/>
      <c r="H79" s="1"/>
      <c r="I79" s="1"/>
      <c r="J79" s="77">
        <f>(N69*9/5)+32</f>
        <v>1904</v>
      </c>
    </row>
    <row r="80" spans="1:14" x14ac:dyDescent="0.25">
      <c r="A80" s="53" t="s">
        <v>518</v>
      </c>
      <c r="B80" s="53" t="s">
        <v>519</v>
      </c>
      <c r="C80" s="1" t="s">
        <v>515</v>
      </c>
      <c r="D80" s="1"/>
      <c r="E80" s="1"/>
      <c r="F80" s="1"/>
      <c r="G80" s="1"/>
      <c r="H80" s="1"/>
      <c r="I80" s="1"/>
      <c r="J80" s="77">
        <f>J77*J65/100</f>
        <v>3.2126082816905819E-3</v>
      </c>
    </row>
    <row r="81" spans="1:14" x14ac:dyDescent="0.25">
      <c r="A81" s="53" t="s">
        <v>520</v>
      </c>
      <c r="B81" s="53" t="s">
        <v>521</v>
      </c>
      <c r="C81" s="1" t="s">
        <v>522</v>
      </c>
      <c r="D81" s="1"/>
      <c r="E81" s="1"/>
      <c r="F81" s="1"/>
      <c r="G81" s="1"/>
      <c r="H81" s="1"/>
      <c r="I81" s="1"/>
      <c r="J81" s="77">
        <f>((0.16*J79)+(1.09*10^(-4)*J79^2)-(2.843*10^(-8)*J79^3)-(12.95))*2323.7</f>
        <v>1140014.1719631222</v>
      </c>
    </row>
    <row r="82" spans="1:14" x14ac:dyDescent="0.25">
      <c r="A82" s="53" t="s">
        <v>523</v>
      </c>
      <c r="B82" s="53" t="s">
        <v>524</v>
      </c>
      <c r="C82" s="1" t="s">
        <v>1</v>
      </c>
      <c r="D82" s="1"/>
      <c r="E82" s="1"/>
      <c r="F82" s="1"/>
      <c r="G82" s="1"/>
      <c r="H82" s="1"/>
      <c r="I82" s="1"/>
      <c r="J82" s="77">
        <f>J81*J80*100/1000000</f>
        <v>0.36624189700933574</v>
      </c>
    </row>
    <row r="83" spans="1:14" x14ac:dyDescent="0.25">
      <c r="A83" s="53"/>
      <c r="B83" s="53"/>
      <c r="C83" s="1"/>
      <c r="D83" s="1"/>
      <c r="E83" s="1"/>
      <c r="F83" s="1"/>
      <c r="G83" s="1"/>
      <c r="H83" s="1"/>
      <c r="I83" s="1"/>
      <c r="J83" s="77"/>
    </row>
    <row r="84" spans="1:14" x14ac:dyDescent="0.25">
      <c r="A84" s="53" t="s">
        <v>525</v>
      </c>
      <c r="B84" s="53" t="s">
        <v>526</v>
      </c>
      <c r="C84" s="1" t="s">
        <v>421</v>
      </c>
      <c r="D84" s="1"/>
      <c r="E84" s="1"/>
      <c r="F84" s="1"/>
      <c r="G84" s="1"/>
      <c r="H84" s="1"/>
      <c r="I84" s="1"/>
      <c r="J84" s="77">
        <f>(N70*9/5)+32</f>
        <v>295.31659999999999</v>
      </c>
    </row>
    <row r="85" spans="1:14" x14ac:dyDescent="0.25">
      <c r="A85" s="53" t="s">
        <v>527</v>
      </c>
      <c r="B85" s="53" t="s">
        <v>528</v>
      </c>
      <c r="C85" s="1" t="s">
        <v>515</v>
      </c>
      <c r="D85" s="1"/>
      <c r="E85" s="1"/>
      <c r="F85" s="1"/>
      <c r="G85" s="1"/>
      <c r="H85" s="1"/>
      <c r="I85" s="1"/>
      <c r="J85" s="77">
        <f>J77*J69/100</f>
        <v>2.8913474535215242E-2</v>
      </c>
    </row>
    <row r="86" spans="1:14" x14ac:dyDescent="0.25">
      <c r="A86" s="53" t="s">
        <v>529</v>
      </c>
      <c r="B86" s="53" t="s">
        <v>530</v>
      </c>
      <c r="C86" s="1" t="s">
        <v>522</v>
      </c>
      <c r="D86" s="1"/>
      <c r="E86" s="1"/>
      <c r="F86" s="1"/>
      <c r="G86" s="1"/>
      <c r="H86" s="1"/>
      <c r="I86" s="1"/>
      <c r="J86" s="77">
        <f>((0.16*J84)+(1.09*10^(-4)*J84^2)-(2.843*10^(-8)*J84^3)-(12.95))*2323.7</f>
        <v>100092.29560306479</v>
      </c>
    </row>
    <row r="87" spans="1:14" x14ac:dyDescent="0.25">
      <c r="A87" s="53" t="s">
        <v>531</v>
      </c>
      <c r="B87" s="53" t="s">
        <v>532</v>
      </c>
      <c r="C87" s="1" t="s">
        <v>1</v>
      </c>
      <c r="D87" s="1"/>
      <c r="E87" s="1"/>
      <c r="F87" s="1"/>
      <c r="G87" s="1"/>
      <c r="H87" s="1"/>
      <c r="I87" s="1"/>
      <c r="J87" s="77">
        <f>J86*J85*100/1000000</f>
        <v>0.28940160400904502</v>
      </c>
    </row>
    <row r="88" spans="1:14" x14ac:dyDescent="0.25">
      <c r="A88" s="53"/>
      <c r="B88" s="53"/>
      <c r="C88" s="1"/>
      <c r="D88" s="1"/>
      <c r="E88" s="1"/>
      <c r="F88" s="1"/>
      <c r="G88" s="1"/>
      <c r="H88" s="1"/>
      <c r="I88" s="1"/>
      <c r="J88" s="77"/>
    </row>
    <row r="89" spans="1:14" ht="15.75" thickBot="1" x14ac:dyDescent="0.3">
      <c r="A89" s="53" t="s">
        <v>533</v>
      </c>
      <c r="B89" s="89" t="s">
        <v>534</v>
      </c>
      <c r="C89" s="98" t="s">
        <v>1</v>
      </c>
      <c r="D89" s="98"/>
      <c r="E89" s="98"/>
      <c r="F89" s="98"/>
      <c r="G89" s="98"/>
      <c r="H89" s="98"/>
      <c r="I89" s="98"/>
      <c r="J89" s="104">
        <f>J82+J87</f>
        <v>0.65564350101838076</v>
      </c>
    </row>
    <row r="90" spans="1:14" ht="15.75" thickBot="1" x14ac:dyDescent="0.3">
      <c r="A90" s="53"/>
      <c r="B90" s="1"/>
      <c r="C90" s="1"/>
      <c r="D90" s="1"/>
      <c r="E90" s="1"/>
      <c r="F90" s="1"/>
      <c r="G90" s="1"/>
      <c r="H90" s="1"/>
      <c r="I90" s="1"/>
      <c r="J90" s="54"/>
    </row>
    <row r="91" spans="1:14" ht="18.75" x14ac:dyDescent="0.3">
      <c r="A91" s="105">
        <v>8</v>
      </c>
      <c r="B91" s="93" t="s">
        <v>535</v>
      </c>
      <c r="C91" s="85"/>
      <c r="D91" s="85"/>
      <c r="E91" s="85"/>
      <c r="F91" s="85"/>
      <c r="G91" s="85"/>
      <c r="H91" s="85"/>
      <c r="I91" s="85"/>
      <c r="J91" s="95"/>
    </row>
    <row r="92" spans="1:14" x14ac:dyDescent="0.25">
      <c r="A92" s="53"/>
      <c r="B92" s="53"/>
      <c r="C92" s="1"/>
      <c r="D92" s="1"/>
      <c r="E92" s="1"/>
      <c r="F92" s="1"/>
      <c r="G92" s="1"/>
      <c r="H92" s="1"/>
      <c r="I92" s="1"/>
      <c r="J92" s="54"/>
      <c r="L92" s="76" t="s">
        <v>536</v>
      </c>
      <c r="M92" s="42" t="s">
        <v>537</v>
      </c>
      <c r="N92" s="43">
        <f>Conversion!D10</f>
        <v>37.735032079316923</v>
      </c>
    </row>
    <row r="93" spans="1:14" x14ac:dyDescent="0.25">
      <c r="A93" s="53" t="s">
        <v>538</v>
      </c>
      <c r="B93" s="53" t="s">
        <v>539</v>
      </c>
      <c r="C93" s="1" t="s">
        <v>537</v>
      </c>
      <c r="D93" s="17">
        <f>N92</f>
        <v>37.735032079316923</v>
      </c>
      <c r="E93" s="1">
        <f>J73</f>
        <v>0.38355535848851402</v>
      </c>
      <c r="F93" s="1"/>
      <c r="G93" s="1"/>
      <c r="H93" s="1"/>
      <c r="I93" s="1"/>
      <c r="J93" s="75">
        <f>D93-E93</f>
        <v>37.351476720828408</v>
      </c>
      <c r="L93" s="76" t="s">
        <v>540</v>
      </c>
      <c r="M93" s="42" t="s">
        <v>537</v>
      </c>
      <c r="N93" s="43">
        <v>0.35</v>
      </c>
    </row>
    <row r="94" spans="1:14" x14ac:dyDescent="0.25">
      <c r="A94" s="53" t="s">
        <v>541</v>
      </c>
      <c r="B94" s="53" t="s">
        <v>542</v>
      </c>
      <c r="C94" s="1" t="s">
        <v>543</v>
      </c>
      <c r="D94" s="1"/>
      <c r="E94" s="1"/>
      <c r="F94" s="1"/>
      <c r="G94" s="1"/>
      <c r="H94" s="1"/>
      <c r="I94" s="1"/>
      <c r="J94" s="77">
        <v>11.51</v>
      </c>
      <c r="L94" s="76" t="s">
        <v>544</v>
      </c>
      <c r="M94" s="42" t="s">
        <v>537</v>
      </c>
      <c r="N94" s="43">
        <f>Conversion!D11</f>
        <v>2.3901318337300514</v>
      </c>
    </row>
    <row r="95" spans="1:14" x14ac:dyDescent="0.25">
      <c r="A95" s="53" t="s">
        <v>545</v>
      </c>
      <c r="B95" s="53" t="s">
        <v>546</v>
      </c>
      <c r="C95" s="1" t="s">
        <v>547</v>
      </c>
      <c r="D95" s="1"/>
      <c r="E95" s="1"/>
      <c r="F95" s="1"/>
      <c r="G95" s="1"/>
      <c r="H95" s="1"/>
      <c r="I95" s="1"/>
      <c r="J95" s="77">
        <f>J93*J94</f>
        <v>429.91549705673498</v>
      </c>
      <c r="L95" s="88" t="s">
        <v>548</v>
      </c>
      <c r="M95" s="42" t="s">
        <v>537</v>
      </c>
      <c r="N95" s="43">
        <f>N9</f>
        <v>13.48</v>
      </c>
    </row>
    <row r="96" spans="1:14" x14ac:dyDescent="0.25">
      <c r="A96" s="53"/>
      <c r="B96" s="53"/>
      <c r="C96" s="1"/>
      <c r="D96" s="1"/>
      <c r="E96" s="1"/>
      <c r="F96" s="1"/>
      <c r="G96" s="1"/>
      <c r="H96" s="1"/>
      <c r="I96" s="1"/>
      <c r="J96" s="77"/>
      <c r="L96" s="76" t="s">
        <v>549</v>
      </c>
      <c r="M96" s="42" t="s">
        <v>537</v>
      </c>
      <c r="N96" s="43">
        <f>Conversion!D12</f>
        <v>0.747198562800093</v>
      </c>
    </row>
    <row r="97" spans="1:14" x14ac:dyDescent="0.25">
      <c r="A97" s="53" t="s">
        <v>550</v>
      </c>
      <c r="B97" s="53" t="s">
        <v>540</v>
      </c>
      <c r="C97" s="1"/>
      <c r="D97" s="1"/>
      <c r="E97" s="1"/>
      <c r="F97" s="1"/>
      <c r="G97" s="1"/>
      <c r="H97" s="1"/>
      <c r="I97" s="1"/>
      <c r="J97" s="75">
        <f>N93</f>
        <v>0.35</v>
      </c>
      <c r="L97" s="76" t="s">
        <v>551</v>
      </c>
      <c r="M97" s="42" t="s">
        <v>537</v>
      </c>
      <c r="N97" s="43">
        <f>Conversion!D14</f>
        <v>3.8540000267511405</v>
      </c>
    </row>
    <row r="98" spans="1:14" x14ac:dyDescent="0.25">
      <c r="A98" s="53" t="s">
        <v>552</v>
      </c>
      <c r="B98" s="53" t="s">
        <v>553</v>
      </c>
      <c r="C98" s="1" t="s">
        <v>554</v>
      </c>
      <c r="D98" s="1"/>
      <c r="E98" s="1"/>
      <c r="F98" s="1"/>
      <c r="G98" s="1"/>
      <c r="H98" s="1"/>
      <c r="I98" s="1"/>
      <c r="J98" s="77">
        <v>4.3099999999999996</v>
      </c>
      <c r="L98" s="76" t="s">
        <v>555</v>
      </c>
      <c r="M98" s="42" t="s">
        <v>537</v>
      </c>
      <c r="N98" s="43">
        <v>0.3</v>
      </c>
    </row>
    <row r="99" spans="1:14" x14ac:dyDescent="0.25">
      <c r="A99" s="53" t="s">
        <v>556</v>
      </c>
      <c r="B99" s="53" t="s">
        <v>557</v>
      </c>
      <c r="C99" s="1" t="s">
        <v>547</v>
      </c>
      <c r="D99" s="1"/>
      <c r="E99" s="1"/>
      <c r="F99" s="1"/>
      <c r="G99" s="1"/>
      <c r="H99" s="1"/>
      <c r="I99" s="1"/>
      <c r="J99" s="77">
        <f>J97*J98</f>
        <v>1.5084999999999997</v>
      </c>
      <c r="L99" s="76" t="s">
        <v>558</v>
      </c>
      <c r="M99" s="42" t="s">
        <v>537</v>
      </c>
      <c r="N99" s="43">
        <v>0</v>
      </c>
    </row>
    <row r="100" spans="1:14" x14ac:dyDescent="0.25">
      <c r="A100" s="53"/>
      <c r="B100" s="53"/>
      <c r="C100" s="1"/>
      <c r="D100" s="1"/>
      <c r="E100" s="1"/>
      <c r="F100" s="1"/>
      <c r="G100" s="1"/>
      <c r="H100" s="1"/>
      <c r="I100" s="1"/>
      <c r="J100" s="77"/>
      <c r="L100" s="88" t="s">
        <v>559</v>
      </c>
      <c r="M100" s="42" t="s">
        <v>537</v>
      </c>
      <c r="N100" s="43">
        <f>N8</f>
        <v>41.443637497401788</v>
      </c>
    </row>
    <row r="101" spans="1:14" x14ac:dyDescent="0.25">
      <c r="A101" s="53" t="s">
        <v>560</v>
      </c>
      <c r="B101" s="53" t="s">
        <v>544</v>
      </c>
      <c r="C101" s="1"/>
      <c r="D101" s="1"/>
      <c r="E101" s="1"/>
      <c r="F101" s="1"/>
      <c r="G101" s="1"/>
      <c r="H101" s="1"/>
      <c r="I101" s="1"/>
      <c r="J101" s="75">
        <f>N94</f>
        <v>2.3901318337300514</v>
      </c>
      <c r="L101" s="88" t="s">
        <v>561</v>
      </c>
      <c r="M101" s="42" t="s">
        <v>537</v>
      </c>
      <c r="N101" s="43">
        <f>N10</f>
        <v>19.23366036167117</v>
      </c>
    </row>
    <row r="102" spans="1:14" x14ac:dyDescent="0.25">
      <c r="A102" s="53" t="s">
        <v>562</v>
      </c>
      <c r="B102" s="53" t="s">
        <v>563</v>
      </c>
      <c r="C102" s="1" t="s">
        <v>564</v>
      </c>
      <c r="D102" s="1"/>
      <c r="E102" s="1"/>
      <c r="F102" s="1"/>
      <c r="G102" s="1"/>
      <c r="H102" s="1"/>
      <c r="I102" s="1"/>
      <c r="J102" s="77">
        <v>34.29</v>
      </c>
      <c r="L102" s="88" t="s">
        <v>565</v>
      </c>
      <c r="M102" s="42" t="s">
        <v>537</v>
      </c>
      <c r="N102" s="43">
        <f>N7</f>
        <v>25.842702140927038</v>
      </c>
    </row>
    <row r="103" spans="1:14" x14ac:dyDescent="0.25">
      <c r="A103" s="53" t="s">
        <v>566</v>
      </c>
      <c r="B103" s="53" t="s">
        <v>567</v>
      </c>
      <c r="C103" s="1" t="s">
        <v>547</v>
      </c>
      <c r="D103" s="1"/>
      <c r="E103" s="1"/>
      <c r="F103" s="1"/>
      <c r="G103" s="1"/>
      <c r="H103" s="1"/>
      <c r="I103" s="1"/>
      <c r="J103" s="77">
        <f>J101*J102</f>
        <v>81.957620578603468</v>
      </c>
    </row>
    <row r="104" spans="1:14" x14ac:dyDescent="0.25">
      <c r="A104" s="53"/>
      <c r="B104" s="53"/>
      <c r="C104" s="1"/>
      <c r="D104" s="1"/>
      <c r="E104" s="1"/>
      <c r="F104" s="1"/>
      <c r="G104" s="1"/>
      <c r="H104" s="1"/>
      <c r="I104" s="1"/>
      <c r="J104" s="77"/>
    </row>
    <row r="105" spans="1:14" x14ac:dyDescent="0.25">
      <c r="A105" s="53" t="s">
        <v>568</v>
      </c>
      <c r="B105" s="53" t="s">
        <v>551</v>
      </c>
      <c r="C105" s="1"/>
      <c r="D105" s="1"/>
      <c r="E105" s="1"/>
      <c r="F105" s="1"/>
      <c r="G105" s="1"/>
      <c r="H105" s="1"/>
      <c r="I105" s="1"/>
      <c r="J105" s="75">
        <f>N97</f>
        <v>3.8540000267511405</v>
      </c>
    </row>
    <row r="106" spans="1:14" x14ac:dyDescent="0.25">
      <c r="A106" s="53" t="s">
        <v>569</v>
      </c>
      <c r="B106" s="53" t="s">
        <v>570</v>
      </c>
      <c r="C106" s="1" t="s">
        <v>571</v>
      </c>
      <c r="D106" s="1"/>
      <c r="E106" s="1"/>
      <c r="F106" s="1"/>
      <c r="G106" s="1"/>
      <c r="H106" s="1"/>
      <c r="I106" s="1"/>
      <c r="J106" s="77">
        <v>-4.32</v>
      </c>
    </row>
    <row r="107" spans="1:14" x14ac:dyDescent="0.25">
      <c r="A107" s="53" t="s">
        <v>572</v>
      </c>
      <c r="B107" s="53" t="s">
        <v>573</v>
      </c>
      <c r="C107" s="1" t="s">
        <v>547</v>
      </c>
      <c r="D107" s="1"/>
      <c r="E107" s="1"/>
      <c r="F107" s="1"/>
      <c r="G107" s="1"/>
      <c r="H107" s="1"/>
      <c r="I107" s="1"/>
      <c r="J107" s="77">
        <f>J105*J106</f>
        <v>-16.649280115564927</v>
      </c>
    </row>
    <row r="108" spans="1:14" x14ac:dyDescent="0.25">
      <c r="A108" s="53"/>
      <c r="B108" s="53"/>
      <c r="C108" s="1"/>
      <c r="D108" s="1"/>
      <c r="E108" s="1"/>
      <c r="F108" s="1"/>
      <c r="G108" s="1"/>
      <c r="H108" s="1"/>
      <c r="I108" s="1"/>
      <c r="J108" s="77"/>
    </row>
    <row r="109" spans="1:14" x14ac:dyDescent="0.25">
      <c r="A109" s="53" t="s">
        <v>574</v>
      </c>
      <c r="B109" s="53" t="s">
        <v>575</v>
      </c>
      <c r="C109" s="1" t="s">
        <v>547</v>
      </c>
      <c r="D109" s="1">
        <f>J95</f>
        <v>429.91549705673498</v>
      </c>
      <c r="E109" s="1">
        <f>J99</f>
        <v>1.5084999999999997</v>
      </c>
      <c r="F109" s="1">
        <f>J103</f>
        <v>81.957620578603468</v>
      </c>
      <c r="G109" s="1">
        <f>J107</f>
        <v>-16.649280115564927</v>
      </c>
      <c r="H109" s="1"/>
      <c r="I109" s="1"/>
      <c r="J109" s="77">
        <f>D109+E109+F109+G109</f>
        <v>496.73233751977352</v>
      </c>
    </row>
    <row r="110" spans="1:14" ht="15.75" thickBot="1" x14ac:dyDescent="0.3">
      <c r="A110" s="53" t="s">
        <v>576</v>
      </c>
      <c r="B110" s="89" t="s">
        <v>577</v>
      </c>
      <c r="C110" s="98" t="s">
        <v>578</v>
      </c>
      <c r="D110" s="98">
        <f>J109</f>
        <v>496.73233751977352</v>
      </c>
      <c r="E110" s="98">
        <v>28.966000000000001</v>
      </c>
      <c r="F110" s="98"/>
      <c r="G110" s="98"/>
      <c r="H110" s="98"/>
      <c r="I110" s="98"/>
      <c r="J110" s="104">
        <f>J109/28.966</f>
        <v>17.148806791402802</v>
      </c>
    </row>
    <row r="111" spans="1:14" ht="15.75" thickBot="1" x14ac:dyDescent="0.3">
      <c r="A111" s="53"/>
      <c r="B111" s="1"/>
      <c r="C111" s="1"/>
      <c r="D111" s="1"/>
      <c r="E111" s="1"/>
      <c r="F111" s="1"/>
      <c r="G111" s="1"/>
      <c r="H111" s="1"/>
      <c r="I111" s="1"/>
      <c r="J111" s="54"/>
    </row>
    <row r="112" spans="1:14" ht="18.75" x14ac:dyDescent="0.3">
      <c r="A112" s="105">
        <v>9</v>
      </c>
      <c r="B112" s="93" t="s">
        <v>579</v>
      </c>
      <c r="C112" s="85"/>
      <c r="D112" s="85"/>
      <c r="E112" s="85"/>
      <c r="F112" s="85"/>
      <c r="G112" s="85"/>
      <c r="H112" s="85"/>
      <c r="I112" s="85"/>
      <c r="J112" s="95"/>
    </row>
    <row r="113" spans="1:10" x14ac:dyDescent="0.25">
      <c r="A113" s="53"/>
      <c r="B113" s="53"/>
      <c r="C113" s="1"/>
      <c r="D113" s="1"/>
      <c r="E113" s="1"/>
      <c r="F113" s="1"/>
      <c r="G113" s="1"/>
      <c r="H113" s="1"/>
      <c r="I113" s="1"/>
      <c r="J113" s="54"/>
    </row>
    <row r="114" spans="1:10" x14ac:dyDescent="0.25">
      <c r="A114" s="53" t="s">
        <v>580</v>
      </c>
      <c r="B114" s="53" t="s">
        <v>581</v>
      </c>
      <c r="C114" s="1" t="s">
        <v>582</v>
      </c>
      <c r="D114" s="1"/>
      <c r="E114" s="1"/>
      <c r="F114" s="1"/>
      <c r="G114" s="1"/>
      <c r="H114" s="1"/>
      <c r="I114" s="1"/>
      <c r="J114" s="77">
        <v>12.01</v>
      </c>
    </row>
    <row r="115" spans="1:10" x14ac:dyDescent="0.25">
      <c r="A115" s="53" t="s">
        <v>583</v>
      </c>
      <c r="B115" s="53" t="s">
        <v>584</v>
      </c>
      <c r="C115" s="1" t="s">
        <v>585</v>
      </c>
      <c r="D115" s="1"/>
      <c r="E115" s="1"/>
      <c r="F115" s="1"/>
      <c r="G115" s="1"/>
      <c r="H115" s="1"/>
      <c r="I115" s="1"/>
      <c r="J115" s="77">
        <f>J93/J114</f>
        <v>3.1100313672629816</v>
      </c>
    </row>
    <row r="116" spans="1:10" x14ac:dyDescent="0.25">
      <c r="A116" s="53"/>
      <c r="B116" s="53"/>
      <c r="C116" s="1"/>
      <c r="D116" s="1"/>
      <c r="E116" s="1"/>
      <c r="F116" s="1"/>
      <c r="G116" s="1"/>
      <c r="H116" s="1"/>
      <c r="I116" s="1"/>
      <c r="J116" s="77"/>
    </row>
    <row r="117" spans="1:10" x14ac:dyDescent="0.25">
      <c r="A117" s="53" t="s">
        <v>586</v>
      </c>
      <c r="B117" s="53" t="s">
        <v>587</v>
      </c>
      <c r="C117" s="1" t="s">
        <v>588</v>
      </c>
      <c r="D117" s="1"/>
      <c r="E117" s="1"/>
      <c r="F117" s="1"/>
      <c r="G117" s="1"/>
      <c r="H117" s="1"/>
      <c r="I117" s="1"/>
      <c r="J117" s="77">
        <v>32.066000000000003</v>
      </c>
    </row>
    <row r="118" spans="1:10" x14ac:dyDescent="0.25">
      <c r="A118" s="53" t="s">
        <v>589</v>
      </c>
      <c r="B118" s="53" t="s">
        <v>590</v>
      </c>
      <c r="C118" s="1" t="s">
        <v>585</v>
      </c>
      <c r="D118" s="1"/>
      <c r="E118" s="1"/>
      <c r="F118" s="1"/>
      <c r="G118" s="1"/>
      <c r="H118" s="1"/>
      <c r="I118" s="1"/>
      <c r="J118" s="77">
        <f>J97/J117</f>
        <v>1.091498783758498E-2</v>
      </c>
    </row>
    <row r="119" spans="1:10" x14ac:dyDescent="0.25">
      <c r="A119" s="53"/>
      <c r="B119" s="53"/>
      <c r="C119" s="1"/>
      <c r="D119" s="1"/>
      <c r="E119" s="1"/>
      <c r="F119" s="1"/>
      <c r="G119" s="1"/>
      <c r="H119" s="1"/>
      <c r="I119" s="1"/>
      <c r="J119" s="77"/>
    </row>
    <row r="120" spans="1:10" x14ac:dyDescent="0.25">
      <c r="A120" s="53" t="s">
        <v>591</v>
      </c>
      <c r="B120" s="53" t="s">
        <v>549</v>
      </c>
      <c r="C120" s="1"/>
      <c r="D120" s="1"/>
      <c r="E120" s="1"/>
      <c r="F120" s="1"/>
      <c r="G120" s="1"/>
      <c r="H120" s="1"/>
      <c r="I120" s="1"/>
      <c r="J120" s="75">
        <f>N96</f>
        <v>0.747198562800093</v>
      </c>
    </row>
    <row r="121" spans="1:10" x14ac:dyDescent="0.25">
      <c r="A121" s="53" t="s">
        <v>592</v>
      </c>
      <c r="B121" s="53" t="s">
        <v>593</v>
      </c>
      <c r="C121" s="1" t="s">
        <v>594</v>
      </c>
      <c r="D121" s="1"/>
      <c r="E121" s="1"/>
      <c r="F121" s="1"/>
      <c r="G121" s="1"/>
      <c r="H121" s="1"/>
      <c r="I121" s="1"/>
      <c r="J121" s="77">
        <v>28.01</v>
      </c>
    </row>
    <row r="122" spans="1:10" x14ac:dyDescent="0.25">
      <c r="A122" s="53" t="s">
        <v>595</v>
      </c>
      <c r="B122" s="53" t="s">
        <v>596</v>
      </c>
      <c r="C122" s="1" t="s">
        <v>585</v>
      </c>
      <c r="D122" s="1"/>
      <c r="E122" s="1"/>
      <c r="F122" s="1"/>
      <c r="G122" s="1"/>
      <c r="H122" s="1"/>
      <c r="I122" s="1"/>
      <c r="J122" s="77">
        <f>J120/J121</f>
        <v>2.6676135765801249E-2</v>
      </c>
    </row>
    <row r="123" spans="1:10" x14ac:dyDescent="0.25">
      <c r="A123" s="53"/>
      <c r="B123" s="53"/>
      <c r="C123" s="1"/>
      <c r="D123" s="1"/>
      <c r="E123" s="1"/>
      <c r="F123" s="1"/>
      <c r="G123" s="1"/>
      <c r="H123" s="1"/>
      <c r="I123" s="1"/>
      <c r="J123" s="77"/>
    </row>
    <row r="124" spans="1:10" ht="15.75" thickBot="1" x14ac:dyDescent="0.3">
      <c r="A124" s="53" t="s">
        <v>597</v>
      </c>
      <c r="B124" s="89" t="s">
        <v>598</v>
      </c>
      <c r="C124" s="98" t="s">
        <v>585</v>
      </c>
      <c r="D124" s="98">
        <f>J115</f>
        <v>3.1100313672629816</v>
      </c>
      <c r="E124" s="98">
        <f>J118</f>
        <v>1.091498783758498E-2</v>
      </c>
      <c r="F124" s="98">
        <f>J122</f>
        <v>2.6676135765801249E-2</v>
      </c>
      <c r="G124" s="98"/>
      <c r="H124" s="98"/>
      <c r="I124" s="98"/>
      <c r="J124" s="104">
        <f>J115+J118+J122</f>
        <v>3.1476224908663681</v>
      </c>
    </row>
    <row r="125" spans="1:10" ht="15.75" thickBot="1" x14ac:dyDescent="0.3">
      <c r="A125" s="53"/>
      <c r="B125" s="1"/>
      <c r="C125" s="1"/>
      <c r="D125" s="1"/>
      <c r="E125" s="1"/>
      <c r="F125" s="1"/>
      <c r="G125" s="1"/>
      <c r="H125" s="1"/>
      <c r="I125" s="1"/>
      <c r="J125" s="54"/>
    </row>
    <row r="126" spans="1:10" ht="18.75" x14ac:dyDescent="0.3">
      <c r="A126" s="105">
        <v>10</v>
      </c>
      <c r="B126" s="93" t="s">
        <v>599</v>
      </c>
      <c r="C126" s="85"/>
      <c r="D126" s="85"/>
      <c r="E126" s="85"/>
      <c r="F126" s="85"/>
      <c r="G126" s="85"/>
      <c r="H126" s="85"/>
      <c r="I126" s="85"/>
      <c r="J126" s="95"/>
    </row>
    <row r="127" spans="1:10" x14ac:dyDescent="0.25">
      <c r="A127" s="53"/>
      <c r="B127" s="53"/>
      <c r="C127" s="1"/>
      <c r="D127" s="1"/>
      <c r="E127" s="1"/>
      <c r="F127" s="1"/>
      <c r="G127" s="1"/>
      <c r="H127" s="1"/>
      <c r="I127" s="1"/>
      <c r="J127" s="54"/>
    </row>
    <row r="128" spans="1:10" x14ac:dyDescent="0.25">
      <c r="A128" s="53" t="s">
        <v>600</v>
      </c>
      <c r="B128" s="53" t="s">
        <v>601</v>
      </c>
      <c r="C128" s="1" t="s">
        <v>602</v>
      </c>
      <c r="D128" s="1"/>
      <c r="E128" s="1"/>
      <c r="F128" s="1"/>
      <c r="G128" s="1"/>
      <c r="H128" s="1"/>
      <c r="I128" s="1"/>
      <c r="J128" s="77">
        <v>2.016</v>
      </c>
    </row>
    <row r="129" spans="1:14" x14ac:dyDescent="0.25">
      <c r="A129" s="53" t="s">
        <v>603</v>
      </c>
      <c r="B129" s="53" t="s">
        <v>604</v>
      </c>
      <c r="C129" s="1" t="s">
        <v>585</v>
      </c>
      <c r="D129" s="1"/>
      <c r="E129" s="1"/>
      <c r="F129" s="1"/>
      <c r="G129" s="1"/>
      <c r="H129" s="1"/>
      <c r="I129" s="1"/>
      <c r="J129" s="77">
        <f>J101/J128</f>
        <v>1.1855812667311763</v>
      </c>
    </row>
    <row r="130" spans="1:14" x14ac:dyDescent="0.25">
      <c r="A130" s="53"/>
      <c r="B130" s="53"/>
      <c r="C130" s="1"/>
      <c r="D130" s="1"/>
      <c r="E130" s="1"/>
      <c r="F130" s="1"/>
      <c r="G130" s="1"/>
      <c r="H130" s="1"/>
      <c r="I130" s="1"/>
      <c r="J130" s="77"/>
    </row>
    <row r="131" spans="1:14" x14ac:dyDescent="0.25">
      <c r="A131" s="53" t="s">
        <v>605</v>
      </c>
      <c r="B131" s="53" t="s">
        <v>548</v>
      </c>
      <c r="C131" s="1"/>
      <c r="D131" s="1"/>
      <c r="E131" s="1"/>
      <c r="F131" s="1"/>
      <c r="G131" s="1"/>
      <c r="H131" s="1"/>
      <c r="I131" s="1"/>
      <c r="J131" s="75">
        <f>N95</f>
        <v>13.48</v>
      </c>
    </row>
    <row r="132" spans="1:14" x14ac:dyDescent="0.25">
      <c r="A132" s="53" t="s">
        <v>606</v>
      </c>
      <c r="B132" s="53" t="s">
        <v>607</v>
      </c>
      <c r="C132" s="1" t="s">
        <v>608</v>
      </c>
      <c r="D132" s="1"/>
      <c r="E132" s="1"/>
      <c r="F132" s="1"/>
      <c r="G132" s="1"/>
      <c r="H132" s="1"/>
      <c r="I132" s="1"/>
      <c r="J132" s="77">
        <v>18.015000000000001</v>
      </c>
    </row>
    <row r="133" spans="1:14" x14ac:dyDescent="0.25">
      <c r="A133" s="53" t="s">
        <v>609</v>
      </c>
      <c r="B133" s="53" t="s">
        <v>610</v>
      </c>
      <c r="C133" s="1" t="s">
        <v>585</v>
      </c>
      <c r="D133" s="1"/>
      <c r="E133" s="1"/>
      <c r="F133" s="1"/>
      <c r="G133" s="1"/>
      <c r="H133" s="1"/>
      <c r="I133" s="1"/>
      <c r="J133" s="77">
        <f>J131/J132</f>
        <v>0.74826533444351928</v>
      </c>
    </row>
    <row r="134" spans="1:14" x14ac:dyDescent="0.25">
      <c r="A134" s="53"/>
      <c r="B134" s="53"/>
      <c r="C134" s="1"/>
      <c r="D134" s="1"/>
      <c r="E134" s="1"/>
      <c r="F134" s="1"/>
      <c r="G134" s="1"/>
      <c r="H134" s="1"/>
      <c r="I134" s="1"/>
      <c r="J134" s="77"/>
    </row>
    <row r="135" spans="1:14" ht="15.75" thickBot="1" x14ac:dyDescent="0.3">
      <c r="A135" s="53" t="s">
        <v>611</v>
      </c>
      <c r="B135" s="89" t="s">
        <v>612</v>
      </c>
      <c r="C135" s="98" t="s">
        <v>585</v>
      </c>
      <c r="D135" s="98">
        <f>J129</f>
        <v>1.1855812667311763</v>
      </c>
      <c r="E135" s="98">
        <f>J133</f>
        <v>0.74826533444351928</v>
      </c>
      <c r="F135" s="98"/>
      <c r="G135" s="98"/>
      <c r="H135" s="98"/>
      <c r="I135" s="98"/>
      <c r="J135" s="104">
        <f>J129+J133</f>
        <v>1.9338466011746955</v>
      </c>
    </row>
    <row r="136" spans="1:14" ht="15.75" thickBot="1" x14ac:dyDescent="0.3">
      <c r="A136" s="53"/>
      <c r="B136" s="1"/>
      <c r="C136" s="1"/>
      <c r="D136" s="1"/>
      <c r="E136" s="1"/>
      <c r="F136" s="1"/>
      <c r="G136" s="1"/>
      <c r="H136" s="1"/>
      <c r="I136" s="1"/>
      <c r="J136" s="54"/>
    </row>
    <row r="137" spans="1:14" ht="18.75" x14ac:dyDescent="0.3">
      <c r="A137" s="105">
        <v>11</v>
      </c>
      <c r="B137" s="93" t="s">
        <v>613</v>
      </c>
      <c r="C137" s="85"/>
      <c r="D137" s="85"/>
      <c r="E137" s="85"/>
      <c r="F137" s="85"/>
      <c r="G137" s="85"/>
      <c r="H137" s="85"/>
      <c r="I137" s="85"/>
      <c r="J137" s="95"/>
    </row>
    <row r="138" spans="1:14" x14ac:dyDescent="0.25">
      <c r="A138" s="53"/>
      <c r="B138" s="53"/>
      <c r="C138" s="1"/>
      <c r="D138" s="1"/>
      <c r="E138" s="1"/>
      <c r="F138" s="1"/>
      <c r="G138" s="1"/>
      <c r="H138" s="1"/>
      <c r="I138" s="1"/>
      <c r="J138" s="54"/>
    </row>
    <row r="139" spans="1:14" s="71" customFormat="1" x14ac:dyDescent="0.25">
      <c r="A139" s="99" t="s">
        <v>614</v>
      </c>
      <c r="B139" s="99" t="s">
        <v>615</v>
      </c>
      <c r="C139" s="100" t="s">
        <v>435</v>
      </c>
      <c r="D139" s="100">
        <v>4.1867999999999999</v>
      </c>
      <c r="E139" s="100">
        <f>N6</f>
        <v>3110.2959883600083</v>
      </c>
      <c r="F139" s="100"/>
      <c r="G139" s="100"/>
      <c r="H139" s="100"/>
      <c r="I139" s="100"/>
      <c r="J139" s="106">
        <f>D139*E139</f>
        <v>13022.187244065683</v>
      </c>
    </row>
    <row r="140" spans="1:14" x14ac:dyDescent="0.25">
      <c r="A140" s="53" t="s">
        <v>616</v>
      </c>
      <c r="B140" s="53" t="s">
        <v>617</v>
      </c>
      <c r="C140" s="1" t="s">
        <v>618</v>
      </c>
      <c r="D140" s="1"/>
      <c r="E140" s="1"/>
      <c r="F140" s="1"/>
      <c r="G140" s="1"/>
      <c r="H140" s="1"/>
      <c r="I140" s="1"/>
      <c r="J140" s="77">
        <v>8.9369999999999994</v>
      </c>
      <c r="N140" s="107"/>
    </row>
    <row r="141" spans="1:14" x14ac:dyDescent="0.25">
      <c r="A141" s="53" t="s">
        <v>619</v>
      </c>
      <c r="B141" s="53" t="s">
        <v>620</v>
      </c>
      <c r="C141" s="1" t="s">
        <v>621</v>
      </c>
      <c r="D141" s="17">
        <f>J101</f>
        <v>2.3901318337300514</v>
      </c>
      <c r="E141" s="1">
        <f>J140</f>
        <v>8.9369999999999994</v>
      </c>
      <c r="F141" s="1">
        <f>J139</f>
        <v>13022.187244065683</v>
      </c>
      <c r="G141" s="1"/>
      <c r="H141" s="1"/>
      <c r="I141" s="1"/>
      <c r="J141" s="108">
        <f>D141*E141/(F141*100)</f>
        <v>1.6403241481402957E-5</v>
      </c>
    </row>
    <row r="142" spans="1:14" x14ac:dyDescent="0.25">
      <c r="A142" s="53"/>
      <c r="B142" s="53"/>
      <c r="C142" s="1"/>
      <c r="D142" s="1"/>
      <c r="E142" s="1"/>
      <c r="F142" s="1"/>
      <c r="G142" s="1"/>
      <c r="H142" s="1"/>
      <c r="I142" s="1"/>
      <c r="J142" s="77"/>
    </row>
    <row r="143" spans="1:14" x14ac:dyDescent="0.25">
      <c r="A143" s="53" t="s">
        <v>622</v>
      </c>
      <c r="B143" s="53" t="s">
        <v>623</v>
      </c>
      <c r="C143" s="1" t="s">
        <v>624</v>
      </c>
      <c r="D143" s="1"/>
      <c r="E143" s="1"/>
      <c r="F143" s="1"/>
      <c r="G143" s="1"/>
      <c r="H143" s="1"/>
      <c r="I143" s="1"/>
      <c r="J143" s="77">
        <v>1</v>
      </c>
    </row>
    <row r="144" spans="1:14" x14ac:dyDescent="0.25">
      <c r="A144" s="53" t="s">
        <v>625</v>
      </c>
      <c r="B144" s="53" t="s">
        <v>626</v>
      </c>
      <c r="C144" s="1" t="s">
        <v>621</v>
      </c>
      <c r="D144" s="17">
        <f>J131</f>
        <v>13.48</v>
      </c>
      <c r="E144" s="1">
        <f>J143</f>
        <v>1</v>
      </c>
      <c r="F144" s="1">
        <f>J139</f>
        <v>13022.187244065683</v>
      </c>
      <c r="G144" s="1"/>
      <c r="H144" s="1"/>
      <c r="I144" s="1"/>
      <c r="J144" s="108">
        <f>D144*E144/(F144*100)</f>
        <v>1.0351563640849156E-5</v>
      </c>
    </row>
    <row r="145" spans="1:14" x14ac:dyDescent="0.25">
      <c r="A145" s="53"/>
      <c r="B145" s="53"/>
      <c r="C145" s="1"/>
      <c r="D145" s="1"/>
      <c r="E145" s="1"/>
      <c r="F145" s="1"/>
      <c r="G145" s="1"/>
      <c r="H145" s="1"/>
      <c r="I145" s="1"/>
      <c r="J145" s="77"/>
    </row>
    <row r="146" spans="1:14" x14ac:dyDescent="0.25">
      <c r="A146" s="53" t="s">
        <v>627</v>
      </c>
      <c r="B146" s="53" t="s">
        <v>628</v>
      </c>
      <c r="C146" s="1" t="s">
        <v>621</v>
      </c>
      <c r="D146" s="1"/>
      <c r="E146" s="1"/>
      <c r="F146" s="1"/>
      <c r="G146" s="1"/>
      <c r="H146" s="1"/>
      <c r="I146" s="1"/>
      <c r="J146" s="108">
        <f>J141+J144</f>
        <v>2.6754805122252113E-5</v>
      </c>
    </row>
    <row r="147" spans="1:14" x14ac:dyDescent="0.25">
      <c r="A147" s="53"/>
      <c r="B147" s="53"/>
      <c r="C147" s="1"/>
      <c r="D147" s="1"/>
      <c r="E147" s="1"/>
      <c r="F147" s="1"/>
      <c r="G147" s="1"/>
      <c r="H147" s="1"/>
      <c r="I147" s="1"/>
      <c r="J147" s="77"/>
    </row>
    <row r="148" spans="1:14" x14ac:dyDescent="0.25">
      <c r="A148" s="53" t="s">
        <v>629</v>
      </c>
      <c r="B148" s="53" t="s">
        <v>630</v>
      </c>
      <c r="C148" s="1" t="s">
        <v>578</v>
      </c>
      <c r="D148" s="1"/>
      <c r="E148" s="1"/>
      <c r="F148" s="1"/>
      <c r="G148" s="1"/>
      <c r="H148" s="1"/>
      <c r="I148" s="1"/>
      <c r="J148" s="108">
        <f>J110</f>
        <v>17.148806791402802</v>
      </c>
    </row>
    <row r="149" spans="1:14" x14ac:dyDescent="0.25">
      <c r="A149" s="53" t="s">
        <v>631</v>
      </c>
      <c r="B149" s="53" t="s">
        <v>632</v>
      </c>
      <c r="C149" s="1" t="s">
        <v>633</v>
      </c>
      <c r="D149" s="1">
        <f>J109</f>
        <v>496.73233751977352</v>
      </c>
      <c r="E149" s="1">
        <f>J139</f>
        <v>13022.187244065683</v>
      </c>
      <c r="F149" s="1"/>
      <c r="G149" s="1"/>
      <c r="H149" s="1"/>
      <c r="I149" s="1"/>
      <c r="J149" s="108">
        <f>D149/E149/100</f>
        <v>3.8145077183261863E-4</v>
      </c>
    </row>
    <row r="150" spans="1:14" x14ac:dyDescent="0.25">
      <c r="A150" s="53"/>
      <c r="B150" s="53"/>
      <c r="C150" s="1"/>
      <c r="D150" s="1"/>
      <c r="E150" s="1"/>
      <c r="F150" s="1"/>
      <c r="G150" s="1"/>
      <c r="H150" s="1"/>
      <c r="I150" s="1"/>
      <c r="J150" s="77"/>
    </row>
    <row r="151" spans="1:14" x14ac:dyDescent="0.25">
      <c r="A151" s="53" t="s">
        <v>634</v>
      </c>
      <c r="B151" s="53" t="s">
        <v>635</v>
      </c>
      <c r="C151" s="1" t="s">
        <v>509</v>
      </c>
      <c r="D151" s="1"/>
      <c r="E151" s="1"/>
      <c r="F151" s="1"/>
      <c r="G151" s="1"/>
      <c r="H151" s="1"/>
      <c r="I151" s="1"/>
      <c r="J151" s="75">
        <f>J73</f>
        <v>0.38355535848851402</v>
      </c>
    </row>
    <row r="152" spans="1:14" x14ac:dyDescent="0.25">
      <c r="A152" s="53" t="s">
        <v>636</v>
      </c>
      <c r="B152" s="53" t="s">
        <v>637</v>
      </c>
      <c r="C152" s="1"/>
      <c r="D152" s="1"/>
      <c r="E152" s="1"/>
      <c r="F152" s="1"/>
      <c r="G152" s="1"/>
      <c r="H152" s="1"/>
      <c r="I152" s="1"/>
      <c r="J152" s="75">
        <f>N62</f>
        <v>41.443637497401788</v>
      </c>
    </row>
    <row r="153" spans="1:14" s="71" customFormat="1" ht="15.75" thickBot="1" x14ac:dyDescent="0.3">
      <c r="A153" s="99" t="s">
        <v>638</v>
      </c>
      <c r="B153" s="109" t="s">
        <v>639</v>
      </c>
      <c r="C153" s="110" t="s">
        <v>633</v>
      </c>
      <c r="D153" s="110"/>
      <c r="E153" s="110"/>
      <c r="F153" s="110"/>
      <c r="G153" s="110"/>
      <c r="H153" s="110"/>
      <c r="I153" s="110"/>
      <c r="J153" s="111">
        <f>(100-J151-J152-N93)/J139/100</f>
        <v>4.4403298816379736E-5</v>
      </c>
    </row>
    <row r="154" spans="1:14" ht="15.75" thickBot="1" x14ac:dyDescent="0.3">
      <c r="A154" s="53"/>
      <c r="B154" s="1"/>
      <c r="C154" s="1"/>
      <c r="D154" s="1"/>
      <c r="E154" s="1"/>
      <c r="F154" s="1"/>
      <c r="G154" s="1"/>
      <c r="H154" s="1"/>
      <c r="I154" s="1"/>
      <c r="J154" s="54"/>
    </row>
    <row r="155" spans="1:14" ht="18.75" x14ac:dyDescent="0.3">
      <c r="A155" s="105">
        <v>12</v>
      </c>
      <c r="B155" s="93" t="s">
        <v>640</v>
      </c>
      <c r="C155" s="85"/>
      <c r="D155" s="85"/>
      <c r="E155" s="85"/>
      <c r="F155" s="85"/>
      <c r="G155" s="85"/>
      <c r="H155" s="85"/>
      <c r="I155" s="85"/>
      <c r="J155" s="95"/>
    </row>
    <row r="156" spans="1:14" x14ac:dyDescent="0.25">
      <c r="A156" s="53"/>
      <c r="B156" s="53"/>
      <c r="C156" s="1"/>
      <c r="D156" s="1"/>
      <c r="E156" s="1"/>
      <c r="F156" s="1"/>
      <c r="G156" s="1"/>
      <c r="H156" s="1"/>
      <c r="I156" s="1"/>
      <c r="J156" s="54"/>
      <c r="L156" s="76" t="s">
        <v>298</v>
      </c>
      <c r="M156" s="42" t="s">
        <v>266</v>
      </c>
      <c r="N156" s="43">
        <f>Inputs!C25</f>
        <v>346.87119999999993</v>
      </c>
    </row>
    <row r="157" spans="1:14" x14ac:dyDescent="0.25">
      <c r="A157" s="53" t="s">
        <v>641</v>
      </c>
      <c r="B157" s="53" t="s">
        <v>642</v>
      </c>
      <c r="C157" s="1" t="s">
        <v>266</v>
      </c>
      <c r="D157" s="1">
        <f>N157</f>
        <v>292.83759999999984</v>
      </c>
      <c r="E157" s="1">
        <f>N159</f>
        <v>406.69599999999997</v>
      </c>
      <c r="F157" s="1">
        <f>N158</f>
        <v>291.96340000000009</v>
      </c>
      <c r="G157" s="1">
        <f>N160</f>
        <v>693.20920000000001</v>
      </c>
      <c r="H157" s="1"/>
      <c r="I157" s="1"/>
      <c r="J157" s="75">
        <f>((D157*E157)+(F157*G157))/(E157+G157)</f>
        <v>292.28664026034249</v>
      </c>
      <c r="L157" s="76" t="s">
        <v>301</v>
      </c>
      <c r="M157" s="42" t="s">
        <v>266</v>
      </c>
      <c r="N157" s="43">
        <f>Inputs!C26</f>
        <v>292.83759999999984</v>
      </c>
    </row>
    <row r="158" spans="1:14" x14ac:dyDescent="0.25">
      <c r="A158" s="53" t="s">
        <v>643</v>
      </c>
      <c r="B158" s="53" t="s">
        <v>644</v>
      </c>
      <c r="C158" s="1"/>
      <c r="D158" s="1">
        <f>N162</f>
        <v>1.2999999999999999E-2</v>
      </c>
      <c r="E158" s="1">
        <v>1.6080000000000001</v>
      </c>
      <c r="F158" s="1"/>
      <c r="G158" s="1"/>
      <c r="H158" s="1"/>
      <c r="I158" s="1"/>
      <c r="J158" s="77">
        <f>D158*E158</f>
        <v>2.0903999999999999E-2</v>
      </c>
      <c r="L158" s="76" t="s">
        <v>304</v>
      </c>
      <c r="M158" s="42" t="s">
        <v>266</v>
      </c>
      <c r="N158" s="43">
        <f>Inputs!C27</f>
        <v>291.96340000000009</v>
      </c>
    </row>
    <row r="159" spans="1:14" x14ac:dyDescent="0.25">
      <c r="A159" s="53" t="s">
        <v>645</v>
      </c>
      <c r="B159" s="53" t="s">
        <v>646</v>
      </c>
      <c r="C159" s="1" t="s">
        <v>585</v>
      </c>
      <c r="D159" s="1"/>
      <c r="E159" s="1"/>
      <c r="F159" s="1"/>
      <c r="G159" s="1"/>
      <c r="H159" s="1"/>
      <c r="I159" s="1"/>
      <c r="J159" s="112">
        <f>J124</f>
        <v>3.1476224908663681</v>
      </c>
      <c r="L159" s="76" t="s">
        <v>307</v>
      </c>
      <c r="M159" s="42" t="s">
        <v>270</v>
      </c>
      <c r="N159" s="43">
        <f>Inputs!C28</f>
        <v>406.69599999999997</v>
      </c>
    </row>
    <row r="160" spans="1:14" x14ac:dyDescent="0.25">
      <c r="A160" s="53" t="s">
        <v>647</v>
      </c>
      <c r="B160" s="53" t="s">
        <v>648</v>
      </c>
      <c r="C160" s="1" t="s">
        <v>585</v>
      </c>
      <c r="D160" s="1"/>
      <c r="E160" s="1"/>
      <c r="F160" s="1"/>
      <c r="G160" s="1"/>
      <c r="H160" s="1"/>
      <c r="I160" s="1"/>
      <c r="J160" s="112">
        <f>J135</f>
        <v>1.9338466011746955</v>
      </c>
      <c r="L160" s="76" t="s">
        <v>310</v>
      </c>
      <c r="M160" s="42" t="s">
        <v>270</v>
      </c>
      <c r="N160" s="43">
        <f>Inputs!C29</f>
        <v>693.20920000000001</v>
      </c>
    </row>
    <row r="161" spans="1:14" x14ac:dyDescent="0.25">
      <c r="A161" s="53" t="s">
        <v>649</v>
      </c>
      <c r="B161" s="53" t="s">
        <v>650</v>
      </c>
      <c r="C161" s="1" t="s">
        <v>585</v>
      </c>
      <c r="D161" s="1">
        <f>J110</f>
        <v>17.148806791402802</v>
      </c>
      <c r="E161" s="1">
        <v>0.79049999999999998</v>
      </c>
      <c r="F161" s="1">
        <f>J158</f>
        <v>2.0903999999999999E-2</v>
      </c>
      <c r="G161" s="1"/>
      <c r="H161" s="1"/>
      <c r="I161" s="1"/>
      <c r="J161" s="103">
        <f>D161*(E161+F161)</f>
        <v>13.914610425771398</v>
      </c>
      <c r="L161" s="76" t="s">
        <v>313</v>
      </c>
      <c r="M161" s="42" t="s">
        <v>1</v>
      </c>
      <c r="N161" s="43">
        <f>Inputs!C30</f>
        <v>2.5310000000000006</v>
      </c>
    </row>
    <row r="162" spans="1:14" x14ac:dyDescent="0.25">
      <c r="A162" s="53" t="s">
        <v>651</v>
      </c>
      <c r="B162" s="53" t="s">
        <v>652</v>
      </c>
      <c r="C162" s="1" t="s">
        <v>585</v>
      </c>
      <c r="D162" s="1"/>
      <c r="E162" s="1"/>
      <c r="F162" s="1"/>
      <c r="G162" s="1"/>
      <c r="H162" s="1"/>
      <c r="I162" s="1"/>
      <c r="J162" s="77">
        <f>J159+J161</f>
        <v>17.062232916637768</v>
      </c>
      <c r="L162" s="88" t="s">
        <v>653</v>
      </c>
      <c r="M162" s="42" t="s">
        <v>329</v>
      </c>
      <c r="N162" s="113">
        <f>N178</f>
        <v>1.2999999999999999E-2</v>
      </c>
    </row>
    <row r="163" spans="1:14" s="71" customFormat="1" x14ac:dyDescent="0.25">
      <c r="A163" s="114" t="s">
        <v>654</v>
      </c>
      <c r="B163" s="114" t="s">
        <v>655</v>
      </c>
      <c r="C163" s="115" t="s">
        <v>585</v>
      </c>
      <c r="D163" s="115">
        <v>20.95</v>
      </c>
      <c r="E163" s="115">
        <f>N161</f>
        <v>2.5310000000000006</v>
      </c>
      <c r="F163" s="115">
        <f>J158</f>
        <v>2.0903999999999999E-2</v>
      </c>
      <c r="G163" s="115"/>
      <c r="H163" s="115"/>
      <c r="I163" s="115"/>
      <c r="J163" s="116">
        <f>D163-((E163)*(1+F163))</f>
        <v>18.366091976</v>
      </c>
    </row>
    <row r="164" spans="1:14" x14ac:dyDescent="0.25">
      <c r="A164" s="53" t="s">
        <v>656</v>
      </c>
      <c r="B164" s="53" t="s">
        <v>657</v>
      </c>
      <c r="C164" s="1" t="s">
        <v>1</v>
      </c>
      <c r="D164" s="1">
        <f>N161</f>
        <v>2.5310000000000006</v>
      </c>
      <c r="E164" s="1">
        <f>J162</f>
        <v>17.062232916637768</v>
      </c>
      <c r="F164" s="1">
        <f>J110</f>
        <v>17.148806791402802</v>
      </c>
      <c r="G164" s="1">
        <f>J163</f>
        <v>18.366091976</v>
      </c>
      <c r="H164" s="1"/>
      <c r="I164" s="1"/>
      <c r="J164" s="117">
        <f>(D164*E164)/(F164*G164)%</f>
        <v>13.71125945964882</v>
      </c>
    </row>
    <row r="165" spans="1:14" x14ac:dyDescent="0.25">
      <c r="A165" s="53" t="s">
        <v>658</v>
      </c>
      <c r="B165" s="53" t="s">
        <v>659</v>
      </c>
      <c r="C165" s="1" t="s">
        <v>633</v>
      </c>
      <c r="D165" s="1"/>
      <c r="E165" s="1"/>
      <c r="F165" s="1"/>
      <c r="G165" s="1"/>
      <c r="H165" s="1"/>
      <c r="I165" s="1"/>
      <c r="J165" s="118">
        <f>(1+(J164/100))*J149</f>
        <v>4.3375247686942197E-4</v>
      </c>
    </row>
    <row r="166" spans="1:14" x14ac:dyDescent="0.25">
      <c r="A166" s="53" t="s">
        <v>660</v>
      </c>
      <c r="B166" s="53" t="s">
        <v>661</v>
      </c>
      <c r="C166" s="1" t="s">
        <v>633</v>
      </c>
      <c r="D166" s="1"/>
      <c r="E166" s="1"/>
      <c r="F166" s="1"/>
      <c r="G166" s="1"/>
      <c r="H166" s="1"/>
      <c r="I166" s="1"/>
      <c r="J166" s="119">
        <f>J153</f>
        <v>4.4403298816379736E-5</v>
      </c>
    </row>
    <row r="167" spans="1:14" x14ac:dyDescent="0.25">
      <c r="A167" s="53" t="s">
        <v>662</v>
      </c>
      <c r="B167" s="53" t="s">
        <v>663</v>
      </c>
      <c r="C167" s="1" t="s">
        <v>633</v>
      </c>
      <c r="D167" s="1"/>
      <c r="E167" s="1"/>
      <c r="F167" s="1"/>
      <c r="G167" s="1"/>
      <c r="H167" s="1"/>
      <c r="I167" s="1"/>
      <c r="J167" s="118">
        <f>J165*N162</f>
        <v>5.6387821993024852E-6</v>
      </c>
    </row>
    <row r="168" spans="1:14" x14ac:dyDescent="0.25">
      <c r="A168" s="53" t="s">
        <v>664</v>
      </c>
      <c r="B168" s="53" t="s">
        <v>665</v>
      </c>
      <c r="C168" s="1" t="s">
        <v>633</v>
      </c>
      <c r="D168" s="120"/>
      <c r="E168" s="1"/>
      <c r="F168" s="1"/>
      <c r="G168" s="1"/>
      <c r="H168" s="1"/>
      <c r="I168" s="1"/>
      <c r="J168" s="121">
        <f>J165+J166+J167</f>
        <v>4.8379455788510417E-4</v>
      </c>
      <c r="L168" s="122"/>
    </row>
    <row r="169" spans="1:14" x14ac:dyDescent="0.25">
      <c r="A169" s="53" t="s">
        <v>666</v>
      </c>
      <c r="B169" s="53" t="s">
        <v>667</v>
      </c>
      <c r="C169" s="1" t="s">
        <v>633</v>
      </c>
      <c r="D169" s="1"/>
      <c r="E169" s="1"/>
      <c r="F169" s="1"/>
      <c r="G169" s="1"/>
      <c r="H169" s="1"/>
      <c r="I169" s="1"/>
      <c r="J169" s="108">
        <f>J146+J167</f>
        <v>3.2393587321554597E-5</v>
      </c>
    </row>
    <row r="170" spans="1:14" x14ac:dyDescent="0.25">
      <c r="A170" s="53" t="s">
        <v>668</v>
      </c>
      <c r="B170" s="53" t="s">
        <v>669</v>
      </c>
      <c r="C170" s="1" t="s">
        <v>633</v>
      </c>
      <c r="D170" s="1"/>
      <c r="E170" s="1"/>
      <c r="F170" s="1"/>
      <c r="G170" s="1"/>
      <c r="H170" s="1"/>
      <c r="I170" s="1"/>
      <c r="J170" s="121">
        <f>J168-J169</f>
        <v>4.5140097056354958E-4</v>
      </c>
    </row>
    <row r="171" spans="1:14" ht="15.75" thickBot="1" x14ac:dyDescent="0.3">
      <c r="A171" s="53" t="s">
        <v>670</v>
      </c>
      <c r="B171" s="89" t="s">
        <v>671</v>
      </c>
      <c r="C171" s="98" t="s">
        <v>1</v>
      </c>
      <c r="D171" s="123">
        <f>J169</f>
        <v>3.2393587321554597E-5</v>
      </c>
      <c r="E171" s="123">
        <f>J168</f>
        <v>4.8379455788510417E-4</v>
      </c>
      <c r="F171" s="98"/>
      <c r="G171" s="98"/>
      <c r="H171" s="98"/>
      <c r="I171" s="98"/>
      <c r="J171" s="124">
        <f>D171/E171%</f>
        <v>6.695732060972813</v>
      </c>
    </row>
    <row r="172" spans="1:14" ht="15.75" thickBot="1" x14ac:dyDescent="0.3">
      <c r="A172" s="53"/>
      <c r="B172" s="1"/>
      <c r="C172" s="1"/>
      <c r="D172" s="1"/>
      <c r="E172" s="1"/>
      <c r="F172" s="1"/>
      <c r="G172" s="1"/>
      <c r="H172" s="1"/>
      <c r="I172" s="1"/>
      <c r="J172" s="54"/>
    </row>
    <row r="173" spans="1:14" ht="18.75" x14ac:dyDescent="0.3">
      <c r="A173" s="105">
        <v>13</v>
      </c>
      <c r="B173" s="93" t="s">
        <v>672</v>
      </c>
      <c r="C173" s="85"/>
      <c r="D173" s="85"/>
      <c r="E173" s="85"/>
      <c r="F173" s="85"/>
      <c r="G173" s="85"/>
      <c r="H173" s="85"/>
      <c r="I173" s="85"/>
      <c r="J173" s="95"/>
    </row>
    <row r="174" spans="1:14" x14ac:dyDescent="0.25">
      <c r="A174" s="53"/>
      <c r="B174" s="53"/>
      <c r="C174" s="1"/>
      <c r="D174" s="1"/>
      <c r="E174" s="1"/>
      <c r="F174" s="1"/>
      <c r="G174" s="1"/>
      <c r="H174" s="1"/>
      <c r="I174" s="1"/>
      <c r="J174" s="54"/>
      <c r="L174" s="76" t="s">
        <v>316</v>
      </c>
      <c r="M174" s="42" t="s">
        <v>266</v>
      </c>
      <c r="N174" s="43">
        <f>Inputs!C31</f>
        <v>146.28699999999998</v>
      </c>
    </row>
    <row r="175" spans="1:14" x14ac:dyDescent="0.25">
      <c r="A175" s="53" t="s">
        <v>673</v>
      </c>
      <c r="B175" s="53" t="s">
        <v>674</v>
      </c>
      <c r="C175" s="1" t="s">
        <v>266</v>
      </c>
      <c r="D175" s="1">
        <f>N175</f>
        <v>39.565999999999988</v>
      </c>
      <c r="E175" s="1">
        <f>N159</f>
        <v>406.69599999999997</v>
      </c>
      <c r="F175" s="1">
        <f>N176</f>
        <v>31.989400000000003</v>
      </c>
      <c r="G175" s="1">
        <f>N160</f>
        <v>693.20920000000001</v>
      </c>
      <c r="H175" s="1"/>
      <c r="I175" s="1"/>
      <c r="J175" s="75">
        <f>((D175*E175)+(F175*G175))/(E175+G175)</f>
        <v>34.790889540734959</v>
      </c>
      <c r="L175" s="76" t="s">
        <v>319</v>
      </c>
      <c r="M175" s="42" t="s">
        <v>266</v>
      </c>
      <c r="N175" s="43">
        <f>Inputs!C32</f>
        <v>39.565999999999988</v>
      </c>
    </row>
    <row r="176" spans="1:14" x14ac:dyDescent="0.25">
      <c r="A176" s="53" t="s">
        <v>675</v>
      </c>
      <c r="B176" s="53" t="s">
        <v>644</v>
      </c>
      <c r="C176" s="1"/>
      <c r="D176" s="1">
        <f>N178</f>
        <v>1.2999999999999999E-2</v>
      </c>
      <c r="E176" s="1">
        <v>1.6080000000000001</v>
      </c>
      <c r="F176" s="1"/>
      <c r="G176" s="1"/>
      <c r="H176" s="1"/>
      <c r="I176" s="1"/>
      <c r="J176" s="77">
        <f>D176*E176</f>
        <v>2.0903999999999999E-2</v>
      </c>
      <c r="L176" s="76" t="s">
        <v>322</v>
      </c>
      <c r="M176" s="42" t="s">
        <v>266</v>
      </c>
      <c r="N176" s="43">
        <f>Inputs!C33</f>
        <v>31.989400000000003</v>
      </c>
    </row>
    <row r="177" spans="1:14" x14ac:dyDescent="0.25">
      <c r="A177" s="53" t="s">
        <v>676</v>
      </c>
      <c r="B177" s="53" t="s">
        <v>646</v>
      </c>
      <c r="C177" s="1" t="s">
        <v>585</v>
      </c>
      <c r="D177" s="1"/>
      <c r="E177" s="1"/>
      <c r="F177" s="1"/>
      <c r="G177" s="1"/>
      <c r="H177" s="1"/>
      <c r="I177" s="1"/>
      <c r="J177" s="112">
        <f>J124</f>
        <v>3.1476224908663681</v>
      </c>
      <c r="L177" s="76" t="s">
        <v>325</v>
      </c>
      <c r="M177" s="42" t="s">
        <v>1</v>
      </c>
      <c r="N177" s="43">
        <f>Inputs!C34</f>
        <v>6.0715999999999983</v>
      </c>
    </row>
    <row r="178" spans="1:14" x14ac:dyDescent="0.25">
      <c r="A178" s="53" t="s">
        <v>677</v>
      </c>
      <c r="B178" s="53" t="s">
        <v>648</v>
      </c>
      <c r="C178" s="1" t="s">
        <v>585</v>
      </c>
      <c r="D178" s="1"/>
      <c r="E178" s="1"/>
      <c r="F178" s="1"/>
      <c r="G178" s="1"/>
      <c r="H178" s="1"/>
      <c r="I178" s="1"/>
      <c r="J178" s="112">
        <f>J135</f>
        <v>1.9338466011746955</v>
      </c>
      <c r="L178" s="76" t="s">
        <v>328</v>
      </c>
      <c r="M178" s="42" t="s">
        <v>329</v>
      </c>
      <c r="N178" s="113">
        <f>Inputs!C35</f>
        <v>1.2999999999999999E-2</v>
      </c>
    </row>
    <row r="179" spans="1:14" x14ac:dyDescent="0.25">
      <c r="A179" s="53" t="s">
        <v>678</v>
      </c>
      <c r="B179" s="53" t="s">
        <v>679</v>
      </c>
      <c r="C179" s="1" t="s">
        <v>585</v>
      </c>
      <c r="D179" s="1">
        <f>J110</f>
        <v>17.148806791402802</v>
      </c>
      <c r="E179" s="1">
        <v>0.79049999999999998</v>
      </c>
      <c r="F179" s="1">
        <f>J176</f>
        <v>2.0903999999999999E-2</v>
      </c>
      <c r="G179" s="1"/>
      <c r="H179" s="1"/>
      <c r="I179" s="1"/>
      <c r="J179" s="103">
        <f>D179*(E179+F179)</f>
        <v>13.914610425771398</v>
      </c>
      <c r="L179" s="76" t="s">
        <v>332</v>
      </c>
      <c r="M179" s="42" t="s">
        <v>329</v>
      </c>
      <c r="N179" s="42">
        <f>Inputs!C36</f>
        <v>1.2800000000000001E-2</v>
      </c>
    </row>
    <row r="180" spans="1:14" x14ac:dyDescent="0.25">
      <c r="A180" s="53" t="s">
        <v>680</v>
      </c>
      <c r="B180" s="53" t="s">
        <v>681</v>
      </c>
      <c r="C180" s="1" t="s">
        <v>585</v>
      </c>
      <c r="D180" s="1"/>
      <c r="E180" s="1"/>
      <c r="F180" s="1"/>
      <c r="G180" s="1"/>
      <c r="H180" s="1"/>
      <c r="I180" s="1"/>
      <c r="J180" s="77">
        <f>J177+J179</f>
        <v>17.062232916637768</v>
      </c>
    </row>
    <row r="181" spans="1:14" x14ac:dyDescent="0.25">
      <c r="A181" s="53" t="s">
        <v>682</v>
      </c>
      <c r="B181" s="53" t="s">
        <v>683</v>
      </c>
      <c r="C181" s="1" t="s">
        <v>585</v>
      </c>
      <c r="D181" s="1">
        <v>20.95</v>
      </c>
      <c r="E181" s="1">
        <f>N177</f>
        <v>6.0715999999999983</v>
      </c>
      <c r="F181" s="1">
        <f>J176</f>
        <v>2.0903999999999999E-2</v>
      </c>
      <c r="G181" s="1"/>
      <c r="H181" s="1"/>
      <c r="I181" s="1"/>
      <c r="J181" s="117">
        <f>(D181-E181)*(1+F181)</f>
        <v>15.189418073600001</v>
      </c>
    </row>
    <row r="182" spans="1:14" x14ac:dyDescent="0.25">
      <c r="A182" s="53" t="s">
        <v>684</v>
      </c>
      <c r="B182" s="53" t="s">
        <v>685</v>
      </c>
      <c r="C182" s="1" t="s">
        <v>1</v>
      </c>
      <c r="D182" s="1">
        <f>N177</f>
        <v>6.0715999999999983</v>
      </c>
      <c r="E182" s="1">
        <f>J180</f>
        <v>17.062232916637768</v>
      </c>
      <c r="F182" s="1">
        <f>J110</f>
        <v>17.148806791402802</v>
      </c>
      <c r="G182" s="1">
        <f>J181</f>
        <v>15.189418073600001</v>
      </c>
      <c r="H182" s="1"/>
      <c r="I182" s="1"/>
      <c r="J182" s="117">
        <f>(D182*E182)/(F182*G182)%</f>
        <v>39.770767796681866</v>
      </c>
    </row>
    <row r="183" spans="1:14" x14ac:dyDescent="0.25">
      <c r="A183" s="53" t="s">
        <v>686</v>
      </c>
      <c r="B183" s="53" t="s">
        <v>687</v>
      </c>
      <c r="C183" s="1" t="s">
        <v>633</v>
      </c>
      <c r="D183" s="1"/>
      <c r="E183" s="1"/>
      <c r="F183" s="1"/>
      <c r="G183" s="1"/>
      <c r="H183" s="1"/>
      <c r="I183" s="1"/>
      <c r="J183" s="118">
        <f>(1+(J182/100))*J149</f>
        <v>5.3315667255682015E-4</v>
      </c>
    </row>
    <row r="184" spans="1:14" x14ac:dyDescent="0.25">
      <c r="A184" s="53" t="s">
        <v>688</v>
      </c>
      <c r="B184" s="53" t="s">
        <v>661</v>
      </c>
      <c r="C184" s="1" t="s">
        <v>633</v>
      </c>
      <c r="D184" s="1"/>
      <c r="E184" s="1"/>
      <c r="F184" s="1"/>
      <c r="G184" s="1"/>
      <c r="H184" s="1"/>
      <c r="I184" s="1"/>
      <c r="J184" s="119">
        <f>J153</f>
        <v>4.4403298816379736E-5</v>
      </c>
      <c r="L184" s="122"/>
    </row>
    <row r="185" spans="1:14" x14ac:dyDescent="0.25">
      <c r="A185" s="53" t="s">
        <v>689</v>
      </c>
      <c r="B185" s="53" t="s">
        <v>690</v>
      </c>
      <c r="C185" s="1" t="s">
        <v>633</v>
      </c>
      <c r="D185" s="1"/>
      <c r="E185" s="1"/>
      <c r="F185" s="1"/>
      <c r="G185" s="1"/>
      <c r="H185" s="1"/>
      <c r="I185" s="1"/>
      <c r="J185" s="118">
        <f>J183*N178</f>
        <v>6.9310367432386619E-6</v>
      </c>
    </row>
    <row r="186" spans="1:14" x14ac:dyDescent="0.25">
      <c r="A186" s="53" t="s">
        <v>691</v>
      </c>
      <c r="B186" s="53" t="s">
        <v>665</v>
      </c>
      <c r="C186" s="1" t="s">
        <v>633</v>
      </c>
      <c r="D186" s="120"/>
      <c r="E186" s="1"/>
      <c r="F186" s="1"/>
      <c r="G186" s="1"/>
      <c r="H186" s="1"/>
      <c r="I186" s="1"/>
      <c r="J186" s="121">
        <f>J183+J184+J185</f>
        <v>5.8449100811643854E-4</v>
      </c>
    </row>
    <row r="187" spans="1:14" x14ac:dyDescent="0.25">
      <c r="A187" s="53" t="s">
        <v>692</v>
      </c>
      <c r="B187" s="53" t="s">
        <v>693</v>
      </c>
      <c r="C187" s="1" t="s">
        <v>633</v>
      </c>
      <c r="D187" s="1"/>
      <c r="E187" s="1"/>
      <c r="F187" s="1"/>
      <c r="G187" s="1"/>
      <c r="H187" s="1"/>
      <c r="I187" s="1"/>
      <c r="J187" s="108">
        <f>J146+J185</f>
        <v>3.3685841865490772E-5</v>
      </c>
    </row>
    <row r="188" spans="1:14" x14ac:dyDescent="0.25">
      <c r="A188" s="53" t="s">
        <v>694</v>
      </c>
      <c r="B188" s="53" t="s">
        <v>695</v>
      </c>
      <c r="C188" s="1" t="s">
        <v>633</v>
      </c>
      <c r="D188" s="1"/>
      <c r="E188" s="1"/>
      <c r="F188" s="1"/>
      <c r="G188" s="1"/>
      <c r="H188" s="1"/>
      <c r="I188" s="1"/>
      <c r="J188" s="121">
        <f>J186-J187</f>
        <v>5.5080516625094782E-4</v>
      </c>
    </row>
    <row r="189" spans="1:14" ht="15.75" thickBot="1" x14ac:dyDescent="0.3">
      <c r="A189" s="53" t="s">
        <v>696</v>
      </c>
      <c r="B189" s="89" t="s">
        <v>697</v>
      </c>
      <c r="C189" s="98" t="s">
        <v>1</v>
      </c>
      <c r="D189" s="123">
        <f>J187</f>
        <v>3.3685841865490772E-5</v>
      </c>
      <c r="E189" s="123">
        <f>J186</f>
        <v>5.8449100811643854E-4</v>
      </c>
      <c r="F189" s="98"/>
      <c r="G189" s="98"/>
      <c r="H189" s="98"/>
      <c r="I189" s="98"/>
      <c r="J189" s="124">
        <f>D189/E189%</f>
        <v>5.7632780312644423</v>
      </c>
    </row>
    <row r="190" spans="1:14" ht="15.75" thickBot="1" x14ac:dyDescent="0.3">
      <c r="A190" s="53"/>
      <c r="B190" s="1"/>
      <c r="C190" s="1"/>
      <c r="D190" s="1"/>
      <c r="E190" s="1"/>
      <c r="F190" s="1"/>
      <c r="G190" s="1"/>
      <c r="H190" s="1"/>
      <c r="I190" s="1"/>
      <c r="J190" s="54"/>
    </row>
    <row r="191" spans="1:14" ht="18.75" x14ac:dyDescent="0.3">
      <c r="A191" s="105">
        <v>14</v>
      </c>
      <c r="B191" s="93" t="s">
        <v>698</v>
      </c>
      <c r="C191" s="85"/>
      <c r="D191" s="85"/>
      <c r="E191" s="85"/>
      <c r="F191" s="85"/>
      <c r="G191" s="85"/>
      <c r="H191" s="85"/>
      <c r="I191" s="85"/>
      <c r="J191" s="95"/>
    </row>
    <row r="192" spans="1:14" x14ac:dyDescent="0.25">
      <c r="A192" s="53"/>
      <c r="B192" s="53"/>
      <c r="C192" s="1"/>
      <c r="D192" s="1"/>
      <c r="E192" s="1"/>
      <c r="F192" s="1"/>
      <c r="G192" s="1"/>
      <c r="H192" s="1"/>
      <c r="I192" s="1"/>
      <c r="J192" s="54"/>
    </row>
    <row r="193" spans="1:10" x14ac:dyDescent="0.25">
      <c r="A193" s="53" t="s">
        <v>699</v>
      </c>
      <c r="B193" s="53" t="s">
        <v>700</v>
      </c>
      <c r="C193" s="1" t="s">
        <v>1</v>
      </c>
      <c r="D193" s="17">
        <f>N177</f>
        <v>6.0715999999999983</v>
      </c>
      <c r="E193" s="1">
        <f>N161</f>
        <v>2.5310000000000006</v>
      </c>
      <c r="F193" s="1"/>
      <c r="G193" s="1"/>
      <c r="H193" s="1"/>
      <c r="I193" s="1"/>
      <c r="J193" s="125">
        <f>((D193-E193)/(21-D193)%)*0.9</f>
        <v>21.345489134803444</v>
      </c>
    </row>
    <row r="194" spans="1:10" x14ac:dyDescent="0.25">
      <c r="A194" s="53" t="s">
        <v>701</v>
      </c>
      <c r="B194" s="53" t="s">
        <v>702</v>
      </c>
      <c r="C194" s="1" t="s">
        <v>266</v>
      </c>
      <c r="D194" s="1"/>
      <c r="E194" s="1"/>
      <c r="F194" s="1"/>
      <c r="G194" s="1"/>
      <c r="H194" s="1"/>
      <c r="I194" s="1"/>
      <c r="J194" s="75">
        <f>J24-273.15</f>
        <v>150</v>
      </c>
    </row>
    <row r="195" spans="1:10" x14ac:dyDescent="0.25">
      <c r="A195" s="53" t="s">
        <v>703</v>
      </c>
      <c r="B195" s="53" t="s">
        <v>704</v>
      </c>
      <c r="C195" s="1" t="s">
        <v>266</v>
      </c>
      <c r="D195" s="1"/>
      <c r="E195" s="1"/>
      <c r="F195" s="1"/>
      <c r="G195" s="1"/>
      <c r="H195" s="1"/>
      <c r="I195" s="1"/>
      <c r="J195" s="75">
        <f>J22-273.15</f>
        <v>20</v>
      </c>
    </row>
    <row r="196" spans="1:10" x14ac:dyDescent="0.25">
      <c r="A196" s="53" t="s">
        <v>705</v>
      </c>
      <c r="B196" s="53" t="s">
        <v>706</v>
      </c>
      <c r="C196" s="1" t="s">
        <v>435</v>
      </c>
      <c r="D196" s="1"/>
      <c r="E196" s="1"/>
      <c r="F196" s="1"/>
      <c r="G196" s="1"/>
      <c r="H196" s="1"/>
      <c r="I196" s="1"/>
      <c r="J196" s="75">
        <f>J25/1000</f>
        <v>126.13909905243904</v>
      </c>
    </row>
    <row r="197" spans="1:10" x14ac:dyDescent="0.25">
      <c r="A197" s="53" t="s">
        <v>707</v>
      </c>
      <c r="B197" s="53" t="s">
        <v>708</v>
      </c>
      <c r="C197" s="1" t="s">
        <v>435</v>
      </c>
      <c r="D197" s="1"/>
      <c r="E197" s="1"/>
      <c r="F197" s="1"/>
      <c r="G197" s="1"/>
      <c r="H197" s="1"/>
      <c r="I197" s="1"/>
      <c r="J197" s="75">
        <f>J23/1000</f>
        <v>-5.0394866063534751</v>
      </c>
    </row>
    <row r="198" spans="1:10" x14ac:dyDescent="0.25">
      <c r="A198" s="53" t="s">
        <v>709</v>
      </c>
      <c r="B198" s="53" t="s">
        <v>710</v>
      </c>
      <c r="C198" s="1"/>
      <c r="D198" s="1">
        <v>0.24049999999999999</v>
      </c>
      <c r="E198" s="1">
        <v>4.1859999999999999</v>
      </c>
      <c r="F198" s="1"/>
      <c r="G198" s="1"/>
      <c r="H198" s="1"/>
      <c r="I198" s="1"/>
      <c r="J198" s="77">
        <f>D198*E198</f>
        <v>1.0067329999999999</v>
      </c>
    </row>
    <row r="199" spans="1:10" ht="15.75" thickBot="1" x14ac:dyDescent="0.3">
      <c r="A199" s="53" t="s">
        <v>711</v>
      </c>
      <c r="B199" s="89" t="s">
        <v>712</v>
      </c>
      <c r="C199" s="98" t="s">
        <v>266</v>
      </c>
      <c r="D199" s="91">
        <f>J194</f>
        <v>150</v>
      </c>
      <c r="E199" s="91">
        <f>J193</f>
        <v>21.345489134803444</v>
      </c>
      <c r="F199" s="91">
        <f>J196</f>
        <v>126.13909905243904</v>
      </c>
      <c r="G199" s="91">
        <f>J197</f>
        <v>-5.0394866063534751</v>
      </c>
      <c r="H199" s="98">
        <f>J198</f>
        <v>1.0067329999999999</v>
      </c>
      <c r="I199" s="98"/>
      <c r="J199" s="124">
        <f>D199+(E199*(F199-G199))/(100*H199)</f>
        <v>177.81344283835574</v>
      </c>
    </row>
    <row r="200" spans="1:10" ht="15.75" thickBot="1" x14ac:dyDescent="0.3">
      <c r="A200" s="53"/>
      <c r="B200" s="1"/>
      <c r="C200" s="1"/>
      <c r="D200" s="1"/>
      <c r="E200" s="1"/>
      <c r="F200" s="1"/>
      <c r="G200" s="1"/>
      <c r="H200" s="1"/>
      <c r="I200" s="1"/>
      <c r="J200" s="54"/>
    </row>
    <row r="201" spans="1:10" ht="18.75" x14ac:dyDescent="0.3">
      <c r="A201" s="105">
        <v>15</v>
      </c>
      <c r="B201" s="93" t="s">
        <v>713</v>
      </c>
      <c r="C201" s="85"/>
      <c r="D201" s="85"/>
      <c r="E201" s="85"/>
      <c r="F201" s="85"/>
      <c r="G201" s="85"/>
      <c r="H201" s="85"/>
      <c r="I201" s="85"/>
      <c r="J201" s="95"/>
    </row>
    <row r="202" spans="1:10" x14ac:dyDescent="0.25">
      <c r="A202" s="105"/>
      <c r="B202" s="53"/>
      <c r="C202" s="1"/>
      <c r="D202" s="1"/>
      <c r="E202" s="1"/>
      <c r="F202" s="1"/>
      <c r="G202" s="1"/>
      <c r="H202" s="1"/>
      <c r="I202" s="1"/>
      <c r="J202" s="54"/>
    </row>
    <row r="203" spans="1:10" x14ac:dyDescent="0.25">
      <c r="A203" s="105">
        <v>15.1</v>
      </c>
      <c r="B203" s="53" t="s">
        <v>273</v>
      </c>
      <c r="C203" s="1" t="s">
        <v>266</v>
      </c>
      <c r="D203" s="1"/>
      <c r="E203" s="1"/>
      <c r="F203" s="1"/>
      <c r="G203" s="1"/>
      <c r="H203" s="1"/>
      <c r="I203" s="1"/>
      <c r="J203" s="77">
        <f>N12</f>
        <v>20</v>
      </c>
    </row>
    <row r="204" spans="1:10" x14ac:dyDescent="0.25">
      <c r="A204" s="105" t="s">
        <v>714</v>
      </c>
      <c r="B204" s="53" t="s">
        <v>715</v>
      </c>
      <c r="C204" s="1" t="s">
        <v>435</v>
      </c>
      <c r="D204" s="1"/>
      <c r="E204" s="1"/>
      <c r="F204" s="1"/>
      <c r="G204" s="1"/>
      <c r="H204" s="1"/>
      <c r="I204" s="1"/>
      <c r="J204" s="77">
        <f>J203*4.186</f>
        <v>83.72</v>
      </c>
    </row>
    <row r="205" spans="1:10" x14ac:dyDescent="0.25">
      <c r="A205" s="105"/>
      <c r="B205" s="53"/>
      <c r="C205" s="1"/>
      <c r="D205" s="1"/>
      <c r="E205" s="1"/>
      <c r="F205" s="1"/>
      <c r="G205" s="1"/>
      <c r="H205" s="1"/>
      <c r="I205" s="1"/>
      <c r="J205" s="54"/>
    </row>
    <row r="206" spans="1:10" x14ac:dyDescent="0.25">
      <c r="A206" s="105">
        <v>15.2</v>
      </c>
      <c r="B206" s="53" t="s">
        <v>716</v>
      </c>
      <c r="C206" s="1" t="s">
        <v>266</v>
      </c>
      <c r="D206" s="1"/>
      <c r="E206" s="1"/>
      <c r="F206" s="1"/>
      <c r="G206" s="1"/>
      <c r="H206" s="1"/>
      <c r="I206" s="1"/>
      <c r="J206" s="83">
        <f>J22-273.15</f>
        <v>20</v>
      </c>
    </row>
    <row r="207" spans="1:10" x14ac:dyDescent="0.25">
      <c r="A207" s="105" t="s">
        <v>717</v>
      </c>
      <c r="B207" s="53" t="s">
        <v>718</v>
      </c>
      <c r="C207" s="1" t="s">
        <v>435</v>
      </c>
      <c r="D207" s="1"/>
      <c r="E207" s="1"/>
      <c r="F207" s="1"/>
      <c r="G207" s="1"/>
      <c r="H207" s="1"/>
      <c r="I207" s="1"/>
      <c r="J207" s="75">
        <f>J23/1000</f>
        <v>-5.0394866063534751</v>
      </c>
    </row>
    <row r="208" spans="1:10" x14ac:dyDescent="0.25">
      <c r="A208" s="105" t="s">
        <v>719</v>
      </c>
      <c r="B208" s="53" t="s">
        <v>720</v>
      </c>
      <c r="C208" s="1" t="s">
        <v>435</v>
      </c>
      <c r="D208" s="1"/>
      <c r="E208" s="1"/>
      <c r="F208" s="1"/>
      <c r="G208" s="1"/>
      <c r="H208" s="1"/>
      <c r="I208" s="1"/>
      <c r="J208" s="75">
        <f>J37/1000</f>
        <v>18.22855847159715</v>
      </c>
    </row>
    <row r="209" spans="1:10" x14ac:dyDescent="0.25">
      <c r="A209" s="105"/>
      <c r="B209" s="53"/>
      <c r="C209" s="1"/>
      <c r="D209" s="1"/>
      <c r="E209" s="1"/>
      <c r="F209" s="1"/>
      <c r="G209" s="1"/>
      <c r="H209" s="1"/>
      <c r="I209" s="1"/>
      <c r="J209" s="54"/>
    </row>
    <row r="210" spans="1:10" x14ac:dyDescent="0.25">
      <c r="A210" s="105">
        <v>15.3</v>
      </c>
      <c r="B210" s="53" t="s">
        <v>721</v>
      </c>
      <c r="C210" s="1" t="s">
        <v>266</v>
      </c>
      <c r="D210" s="1"/>
      <c r="E210" s="1"/>
      <c r="F210" s="1"/>
      <c r="G210" s="1"/>
      <c r="H210" s="1"/>
      <c r="I210" s="1"/>
      <c r="J210" s="75">
        <f>J199</f>
        <v>177.81344283835574</v>
      </c>
    </row>
    <row r="211" spans="1:10" x14ac:dyDescent="0.25">
      <c r="A211" s="105" t="s">
        <v>722</v>
      </c>
      <c r="B211" s="53" t="s">
        <v>723</v>
      </c>
      <c r="C211" s="1" t="s">
        <v>435</v>
      </c>
      <c r="D211" s="1"/>
      <c r="E211" s="1"/>
      <c r="F211" s="1"/>
      <c r="G211" s="1"/>
      <c r="H211" s="1"/>
      <c r="I211" s="1"/>
      <c r="J211" s="75">
        <f>J45/1000</f>
        <v>153.30426645937473</v>
      </c>
    </row>
    <row r="212" spans="1:10" x14ac:dyDescent="0.25">
      <c r="A212" s="105" t="s">
        <v>724</v>
      </c>
      <c r="B212" s="53" t="s">
        <v>725</v>
      </c>
      <c r="C212" s="1" t="s">
        <v>435</v>
      </c>
      <c r="D212" s="1"/>
      <c r="E212" s="1"/>
      <c r="F212" s="1"/>
      <c r="G212" s="1"/>
      <c r="H212" s="1"/>
      <c r="I212" s="1"/>
      <c r="J212" s="75">
        <f>J39/1000</f>
        <v>289.11326766138461</v>
      </c>
    </row>
    <row r="213" spans="1:10" x14ac:dyDescent="0.25">
      <c r="A213" s="105" t="s">
        <v>726</v>
      </c>
      <c r="B213" s="53" t="s">
        <v>727</v>
      </c>
      <c r="C213" s="1" t="s">
        <v>435</v>
      </c>
      <c r="D213" s="1"/>
      <c r="E213" s="1"/>
      <c r="F213" s="1"/>
      <c r="G213" s="1"/>
      <c r="H213" s="1"/>
      <c r="I213" s="1"/>
      <c r="J213" s="75">
        <f>J57/1000</f>
        <v>2833.7858441621729</v>
      </c>
    </row>
    <row r="214" spans="1:10" x14ac:dyDescent="0.25">
      <c r="A214" s="105"/>
      <c r="B214" s="53"/>
      <c r="C214" s="1"/>
      <c r="D214" s="1"/>
      <c r="E214" s="1"/>
      <c r="F214" s="1"/>
      <c r="G214" s="1"/>
      <c r="H214" s="1"/>
      <c r="I214" s="1"/>
      <c r="J214" s="54"/>
    </row>
    <row r="215" spans="1:10" x14ac:dyDescent="0.25">
      <c r="A215" s="105">
        <v>15.4</v>
      </c>
      <c r="B215" s="53" t="s">
        <v>728</v>
      </c>
      <c r="C215" s="1" t="s">
        <v>266</v>
      </c>
      <c r="D215" s="1"/>
      <c r="E215" s="1"/>
      <c r="F215" s="1"/>
      <c r="G215" s="1"/>
      <c r="H215" s="1"/>
      <c r="I215" s="1"/>
      <c r="J215" s="77">
        <f>(J12-32)*5/9</f>
        <v>20</v>
      </c>
    </row>
    <row r="216" spans="1:10" x14ac:dyDescent="0.25">
      <c r="A216" s="105" t="s">
        <v>729</v>
      </c>
      <c r="B216" s="53" t="s">
        <v>730</v>
      </c>
      <c r="C216" s="1" t="s">
        <v>435</v>
      </c>
      <c r="D216" s="1"/>
      <c r="E216" s="1"/>
      <c r="F216" s="1"/>
      <c r="G216" s="1"/>
      <c r="H216" s="1"/>
      <c r="I216" s="1"/>
      <c r="J216" s="75">
        <f>J18/1000</f>
        <v>-7.32087163941749</v>
      </c>
    </row>
    <row r="217" spans="1:10" x14ac:dyDescent="0.25">
      <c r="A217" s="105"/>
      <c r="B217" s="53"/>
      <c r="C217" s="1"/>
      <c r="D217" s="1"/>
      <c r="E217" s="1"/>
      <c r="F217" s="1"/>
      <c r="G217" s="1"/>
      <c r="H217" s="1"/>
      <c r="I217" s="1"/>
      <c r="J217" s="54"/>
    </row>
    <row r="218" spans="1:10" x14ac:dyDescent="0.25">
      <c r="A218" s="105">
        <v>15.5</v>
      </c>
      <c r="B218" s="53" t="s">
        <v>731</v>
      </c>
      <c r="C218" s="1" t="s">
        <v>266</v>
      </c>
      <c r="D218" s="1"/>
      <c r="E218" s="1"/>
      <c r="F218" s="1"/>
      <c r="G218" s="1"/>
      <c r="H218" s="1"/>
      <c r="I218" s="1"/>
      <c r="J218" s="77">
        <f>N156</f>
        <v>346.87119999999993</v>
      </c>
    </row>
    <row r="219" spans="1:10" x14ac:dyDescent="0.25">
      <c r="A219" s="105">
        <v>15.6</v>
      </c>
      <c r="B219" s="53" t="s">
        <v>732</v>
      </c>
      <c r="C219" s="1" t="s">
        <v>266</v>
      </c>
      <c r="D219" s="1"/>
      <c r="E219" s="1"/>
      <c r="F219" s="1"/>
      <c r="G219" s="1"/>
      <c r="H219" s="1"/>
      <c r="I219" s="1"/>
      <c r="J219" s="75">
        <f>J210</f>
        <v>177.81344283835574</v>
      </c>
    </row>
    <row r="220" spans="1:10" x14ac:dyDescent="0.25">
      <c r="A220" s="105"/>
      <c r="B220" s="53"/>
      <c r="C220" s="1"/>
      <c r="D220" s="1"/>
      <c r="E220" s="1"/>
      <c r="F220" s="1"/>
      <c r="G220" s="1"/>
      <c r="H220" s="1"/>
      <c r="I220" s="1"/>
      <c r="J220" s="54"/>
    </row>
    <row r="221" spans="1:10" x14ac:dyDescent="0.25">
      <c r="A221" s="105">
        <v>15.7</v>
      </c>
      <c r="B221" s="53" t="s">
        <v>733</v>
      </c>
      <c r="C221" s="1" t="s">
        <v>633</v>
      </c>
      <c r="D221" s="1"/>
      <c r="E221" s="1"/>
      <c r="F221" s="1"/>
      <c r="G221" s="1"/>
      <c r="H221" s="1"/>
      <c r="I221" s="1"/>
      <c r="J221" s="126">
        <f>J183</f>
        <v>5.3315667255682015E-4</v>
      </c>
    </row>
    <row r="222" spans="1:10" x14ac:dyDescent="0.25">
      <c r="A222" s="105">
        <v>15.8</v>
      </c>
      <c r="B222" s="53" t="s">
        <v>734</v>
      </c>
      <c r="C222" s="1" t="s">
        <v>633</v>
      </c>
      <c r="D222" s="1"/>
      <c r="E222" s="1"/>
      <c r="F222" s="1"/>
      <c r="G222" s="1"/>
      <c r="H222" s="1"/>
      <c r="I222" s="1"/>
      <c r="J222" s="126">
        <f>J188</f>
        <v>5.5080516625094782E-4</v>
      </c>
    </row>
    <row r="223" spans="1:10" x14ac:dyDescent="0.25">
      <c r="A223" s="105">
        <v>15.9</v>
      </c>
      <c r="B223" s="53" t="s">
        <v>735</v>
      </c>
      <c r="C223" s="1" t="s">
        <v>633</v>
      </c>
      <c r="D223" s="1"/>
      <c r="E223" s="1"/>
      <c r="F223" s="1"/>
      <c r="G223" s="1"/>
      <c r="H223" s="1"/>
      <c r="I223" s="1"/>
      <c r="J223" s="127">
        <f>J141</f>
        <v>1.6403241481402957E-5</v>
      </c>
    </row>
    <row r="224" spans="1:10" x14ac:dyDescent="0.25">
      <c r="A224" s="128">
        <v>15.1</v>
      </c>
      <c r="B224" s="53" t="s">
        <v>736</v>
      </c>
      <c r="C224" s="1" t="s">
        <v>633</v>
      </c>
      <c r="D224" s="1"/>
      <c r="E224" s="1"/>
      <c r="F224" s="1"/>
      <c r="G224" s="1"/>
      <c r="H224" s="1"/>
      <c r="I224" s="1"/>
      <c r="J224" s="127">
        <f>J144</f>
        <v>1.0351563640849156E-5</v>
      </c>
    </row>
    <row r="225" spans="1:10" x14ac:dyDescent="0.25">
      <c r="A225" s="128">
        <v>15.11</v>
      </c>
      <c r="B225" s="53" t="s">
        <v>737</v>
      </c>
      <c r="C225" s="1" t="s">
        <v>633</v>
      </c>
      <c r="D225" s="1"/>
      <c r="E225" s="1"/>
      <c r="F225" s="1"/>
      <c r="G225" s="1"/>
      <c r="H225" s="1"/>
      <c r="I225" s="1"/>
      <c r="J225" s="77">
        <v>0</v>
      </c>
    </row>
    <row r="226" spans="1:10" x14ac:dyDescent="0.25">
      <c r="A226" s="128">
        <v>15.12</v>
      </c>
      <c r="B226" s="53" t="s">
        <v>738</v>
      </c>
      <c r="C226" s="1" t="s">
        <v>633</v>
      </c>
      <c r="D226" s="1"/>
      <c r="E226" s="1"/>
      <c r="F226" s="1"/>
      <c r="G226" s="1"/>
      <c r="H226" s="1"/>
      <c r="I226" s="1"/>
      <c r="J226" s="118">
        <f>J185</f>
        <v>6.9310367432386619E-6</v>
      </c>
    </row>
    <row r="227" spans="1:10" x14ac:dyDescent="0.25">
      <c r="A227" s="128">
        <v>15.13</v>
      </c>
      <c r="B227" s="53" t="s">
        <v>739</v>
      </c>
      <c r="C227" s="1" t="s">
        <v>270</v>
      </c>
      <c r="D227" s="1"/>
      <c r="E227" s="1"/>
      <c r="F227" s="1"/>
      <c r="G227" s="1"/>
      <c r="H227" s="1"/>
      <c r="I227" s="1"/>
      <c r="J227" s="77">
        <f>N11</f>
        <v>201.29679999999996</v>
      </c>
    </row>
    <row r="228" spans="1:10" x14ac:dyDescent="0.25">
      <c r="A228" s="128">
        <v>15.14</v>
      </c>
      <c r="B228" s="53" t="s">
        <v>740</v>
      </c>
      <c r="C228" s="1" t="s">
        <v>1</v>
      </c>
      <c r="D228" s="1"/>
      <c r="E228" s="1"/>
      <c r="F228" s="1"/>
      <c r="G228" s="1"/>
      <c r="H228" s="1"/>
      <c r="I228" s="1"/>
      <c r="J228" s="75">
        <f>J73</f>
        <v>0.38355535848851402</v>
      </c>
    </row>
    <row r="229" spans="1:10" x14ac:dyDescent="0.25">
      <c r="A229" s="128">
        <v>15.15</v>
      </c>
      <c r="B229" s="53" t="s">
        <v>615</v>
      </c>
      <c r="C229" s="1" t="s">
        <v>435</v>
      </c>
      <c r="D229" s="1"/>
      <c r="E229" s="1"/>
      <c r="F229" s="1"/>
      <c r="G229" s="1"/>
      <c r="H229" s="1"/>
      <c r="I229" s="1"/>
      <c r="J229" s="125">
        <f>J63</f>
        <v>13019.699007274994</v>
      </c>
    </row>
    <row r="230" spans="1:10" x14ac:dyDescent="0.25">
      <c r="A230" s="105"/>
      <c r="B230" s="53"/>
      <c r="C230" s="1"/>
      <c r="D230" s="1"/>
      <c r="E230" s="1"/>
      <c r="F230" s="1"/>
      <c r="G230" s="1"/>
      <c r="H230" s="1"/>
      <c r="I230" s="1"/>
      <c r="J230" s="54"/>
    </row>
    <row r="231" spans="1:10" x14ac:dyDescent="0.25">
      <c r="A231" s="128">
        <v>15.16</v>
      </c>
      <c r="B231" s="53" t="s">
        <v>741</v>
      </c>
      <c r="C231" s="1" t="s">
        <v>742</v>
      </c>
      <c r="D231" s="1"/>
      <c r="E231" s="1"/>
      <c r="F231" s="1"/>
      <c r="G231" s="1"/>
      <c r="H231" s="1"/>
      <c r="I231" s="1"/>
      <c r="J231" s="75">
        <f>J277</f>
        <v>1784181825.1015897</v>
      </c>
    </row>
    <row r="232" spans="1:10" x14ac:dyDescent="0.25">
      <c r="A232" s="128">
        <v>15.17</v>
      </c>
      <c r="B232" s="53" t="s">
        <v>743</v>
      </c>
      <c r="C232" s="1" t="s">
        <v>742</v>
      </c>
      <c r="D232" s="1"/>
      <c r="E232" s="1"/>
      <c r="F232" s="1"/>
      <c r="G232" s="1"/>
      <c r="H232" s="1"/>
      <c r="I232" s="1"/>
      <c r="J232" s="129">
        <v>4564080</v>
      </c>
    </row>
    <row r="233" spans="1:10" x14ac:dyDescent="0.25">
      <c r="A233" s="128">
        <v>15.18</v>
      </c>
      <c r="B233" s="53" t="s">
        <v>744</v>
      </c>
      <c r="C233" s="1" t="s">
        <v>745</v>
      </c>
      <c r="D233" s="1"/>
      <c r="E233" s="1"/>
      <c r="F233" s="1"/>
      <c r="G233" s="1"/>
      <c r="H233" s="1"/>
      <c r="I233" s="1"/>
      <c r="J233" s="77">
        <v>113641.53</v>
      </c>
    </row>
    <row r="234" spans="1:10" x14ac:dyDescent="0.25">
      <c r="A234" s="128">
        <v>15.19</v>
      </c>
      <c r="B234" s="53" t="s">
        <v>746</v>
      </c>
      <c r="C234" s="1" t="s">
        <v>747</v>
      </c>
      <c r="D234" s="1"/>
      <c r="E234" s="1"/>
      <c r="F234" s="1"/>
      <c r="G234" s="1"/>
      <c r="H234" s="1"/>
      <c r="I234" s="1"/>
      <c r="J234" s="77">
        <v>17.420000000000002</v>
      </c>
    </row>
    <row r="235" spans="1:10" x14ac:dyDescent="0.25">
      <c r="A235" s="53"/>
      <c r="B235" s="53"/>
      <c r="C235" s="1"/>
      <c r="D235" s="1"/>
      <c r="E235" s="1"/>
      <c r="F235" s="1"/>
      <c r="G235" s="1"/>
      <c r="H235" s="1"/>
      <c r="I235" s="1"/>
      <c r="J235" s="54"/>
    </row>
    <row r="236" spans="1:10" x14ac:dyDescent="0.25">
      <c r="A236" s="53" t="s">
        <v>748</v>
      </c>
      <c r="B236" s="53" t="s">
        <v>749</v>
      </c>
      <c r="C236" s="1" t="s">
        <v>750</v>
      </c>
      <c r="D236" s="1"/>
      <c r="E236" s="1"/>
      <c r="F236" s="1"/>
      <c r="G236" s="1"/>
      <c r="H236" s="1"/>
      <c r="I236" s="1"/>
      <c r="J236" s="130">
        <f>N178</f>
        <v>1.2999999999999999E-2</v>
      </c>
    </row>
    <row r="237" spans="1:10" ht="15.75" thickBot="1" x14ac:dyDescent="0.3">
      <c r="A237" s="53" t="s">
        <v>751</v>
      </c>
      <c r="B237" s="89" t="s">
        <v>752</v>
      </c>
      <c r="C237" s="98" t="s">
        <v>750</v>
      </c>
      <c r="D237" s="98"/>
      <c r="E237" s="98"/>
      <c r="F237" s="98"/>
      <c r="G237" s="98"/>
      <c r="H237" s="98"/>
      <c r="I237" s="98"/>
      <c r="J237" s="131">
        <f>N179</f>
        <v>1.2800000000000001E-2</v>
      </c>
    </row>
    <row r="238" spans="1:10" ht="15.75" thickBot="1" x14ac:dyDescent="0.3">
      <c r="A238" s="53"/>
      <c r="B238" s="1"/>
      <c r="C238" s="1"/>
      <c r="D238" s="1"/>
      <c r="E238" s="1"/>
      <c r="F238" s="1"/>
      <c r="G238" s="1"/>
      <c r="H238" s="1"/>
      <c r="I238" s="1"/>
      <c r="J238" s="132"/>
    </row>
    <row r="239" spans="1:10" ht="18.75" x14ac:dyDescent="0.3">
      <c r="A239" s="105">
        <v>16</v>
      </c>
      <c r="B239" s="93" t="s">
        <v>753</v>
      </c>
      <c r="C239" s="85"/>
      <c r="D239" s="85"/>
      <c r="E239" s="85"/>
      <c r="F239" s="85"/>
      <c r="G239" s="85"/>
      <c r="H239" s="85"/>
      <c r="I239" s="85"/>
      <c r="J239" s="95"/>
    </row>
    <row r="240" spans="1:10" x14ac:dyDescent="0.25">
      <c r="A240" s="53"/>
      <c r="B240" s="53"/>
      <c r="C240" s="1"/>
      <c r="D240" s="1"/>
      <c r="E240" s="1"/>
      <c r="F240" s="1"/>
      <c r="G240" s="1"/>
      <c r="H240" s="1"/>
      <c r="I240" s="1"/>
      <c r="J240" s="132"/>
    </row>
    <row r="241" spans="1:14" x14ac:dyDescent="0.25">
      <c r="A241" s="133">
        <v>16.100000000000001</v>
      </c>
      <c r="B241" s="134" t="s">
        <v>337</v>
      </c>
      <c r="C241" s="1" t="s">
        <v>270</v>
      </c>
      <c r="D241" s="1"/>
      <c r="E241" s="1"/>
      <c r="F241" s="1"/>
      <c r="G241" s="1"/>
      <c r="H241" s="1"/>
      <c r="I241" s="1"/>
      <c r="J241" s="75">
        <f>N241</f>
        <v>830.64119999999991</v>
      </c>
      <c r="L241" s="135" t="s">
        <v>337</v>
      </c>
      <c r="M241" s="1" t="s">
        <v>270</v>
      </c>
      <c r="N241" s="43">
        <f>Inputs!C38</f>
        <v>830.64119999999991</v>
      </c>
    </row>
    <row r="242" spans="1:14" x14ac:dyDescent="0.25">
      <c r="A242" s="133">
        <v>16.2</v>
      </c>
      <c r="B242" s="134" t="s">
        <v>340</v>
      </c>
      <c r="C242" s="1" t="s">
        <v>266</v>
      </c>
      <c r="D242" s="1"/>
      <c r="E242" s="1"/>
      <c r="F242" s="1"/>
      <c r="G242" s="1"/>
      <c r="H242" s="1"/>
      <c r="I242" s="1"/>
      <c r="J242" s="188">
        <f>N242</f>
        <v>247.41319999999996</v>
      </c>
      <c r="L242" s="135" t="s">
        <v>340</v>
      </c>
      <c r="M242" s="1" t="s">
        <v>266</v>
      </c>
      <c r="N242" s="43">
        <f>Inputs!C39</f>
        <v>247.41319999999996</v>
      </c>
    </row>
    <row r="243" spans="1:14" x14ac:dyDescent="0.25">
      <c r="A243" s="133">
        <v>16.3</v>
      </c>
      <c r="B243" s="134" t="s">
        <v>341</v>
      </c>
      <c r="C243" s="1" t="s">
        <v>342</v>
      </c>
      <c r="D243" s="1"/>
      <c r="E243" s="1"/>
      <c r="F243" s="1"/>
      <c r="G243" s="1"/>
      <c r="H243" s="1"/>
      <c r="I243" s="1"/>
      <c r="J243" s="75">
        <f>N243</f>
        <v>164.58690200000001</v>
      </c>
      <c r="L243" s="135" t="s">
        <v>341</v>
      </c>
      <c r="M243" s="1" t="s">
        <v>342</v>
      </c>
      <c r="N243" s="43">
        <f>Inputs!C40</f>
        <v>164.58690200000001</v>
      </c>
    </row>
    <row r="244" spans="1:14" x14ac:dyDescent="0.25">
      <c r="A244" s="133">
        <v>16.5</v>
      </c>
      <c r="B244" s="134" t="s">
        <v>754</v>
      </c>
      <c r="C244" s="9" t="s">
        <v>435</v>
      </c>
      <c r="D244" s="1"/>
      <c r="E244" s="1"/>
      <c r="F244" s="1"/>
      <c r="G244" s="1"/>
      <c r="H244" s="1"/>
      <c r="I244" s="1"/>
      <c r="J244" s="130">
        <f>h_pt(J243,J242)</f>
        <v>1073.9986883073082</v>
      </c>
      <c r="L244" s="76"/>
    </row>
    <row r="245" spans="1:14" x14ac:dyDescent="0.25">
      <c r="A245" s="133">
        <v>16.600000000000001</v>
      </c>
      <c r="B245" s="134" t="s">
        <v>755</v>
      </c>
      <c r="C245" s="9" t="s">
        <v>742</v>
      </c>
      <c r="D245" s="1"/>
      <c r="E245" s="1"/>
      <c r="F245" s="1"/>
      <c r="G245" s="1"/>
      <c r="H245" s="1"/>
      <c r="I245" s="1"/>
      <c r="J245" s="136">
        <f>J244*J241*1000</f>
        <v>892107559.25400829</v>
      </c>
      <c r="L245" s="76"/>
    </row>
    <row r="246" spans="1:14" x14ac:dyDescent="0.25">
      <c r="A246" s="53"/>
      <c r="B246" s="53"/>
      <c r="C246" s="1"/>
      <c r="D246" s="1"/>
      <c r="E246" s="1"/>
      <c r="F246" s="1"/>
      <c r="G246" s="1"/>
      <c r="H246" s="1"/>
      <c r="I246" s="1"/>
      <c r="J246" s="130"/>
      <c r="L246" s="76"/>
    </row>
    <row r="247" spans="1:14" x14ac:dyDescent="0.25">
      <c r="A247" s="133">
        <v>16.7</v>
      </c>
      <c r="B247" s="134" t="s">
        <v>345</v>
      </c>
      <c r="C247" s="1" t="s">
        <v>270</v>
      </c>
      <c r="D247" s="1"/>
      <c r="E247" s="1"/>
      <c r="F247" s="1"/>
      <c r="G247" s="1"/>
      <c r="H247" s="1"/>
      <c r="I247" s="1"/>
      <c r="J247" s="75">
        <f>N247</f>
        <v>797.99479999999983</v>
      </c>
      <c r="L247" s="135" t="s">
        <v>345</v>
      </c>
      <c r="M247" s="1" t="s">
        <v>270</v>
      </c>
      <c r="N247" s="43">
        <f>Inputs!C41</f>
        <v>797.99479999999983</v>
      </c>
    </row>
    <row r="248" spans="1:14" x14ac:dyDescent="0.25">
      <c r="A248" s="133">
        <v>16.8</v>
      </c>
      <c r="B248" s="134" t="s">
        <v>347</v>
      </c>
      <c r="C248" s="1" t="s">
        <v>266</v>
      </c>
      <c r="D248" s="1"/>
      <c r="E248" s="1"/>
      <c r="F248" s="1"/>
      <c r="G248" s="1"/>
      <c r="H248" s="1"/>
      <c r="I248" s="1"/>
      <c r="J248" s="188">
        <f>N248</f>
        <v>539.01140000000009</v>
      </c>
      <c r="L248" s="135" t="s">
        <v>347</v>
      </c>
      <c r="M248" s="1" t="s">
        <v>266</v>
      </c>
      <c r="N248" s="43">
        <f>Inputs!C42</f>
        <v>539.01140000000009</v>
      </c>
    </row>
    <row r="249" spans="1:14" x14ac:dyDescent="0.25">
      <c r="A249" s="133">
        <v>16.899999999999999</v>
      </c>
      <c r="B249" s="134" t="s">
        <v>349</v>
      </c>
      <c r="C249" s="1" t="s">
        <v>342</v>
      </c>
      <c r="D249" s="1"/>
      <c r="E249" s="1"/>
      <c r="F249" s="1"/>
      <c r="G249" s="1"/>
      <c r="H249" s="1"/>
      <c r="I249" s="1"/>
      <c r="J249" s="75">
        <f>N249</f>
        <v>145.53784400000001</v>
      </c>
      <c r="L249" s="135" t="s">
        <v>349</v>
      </c>
      <c r="M249" s="1" t="s">
        <v>342</v>
      </c>
      <c r="N249" s="43">
        <f>Inputs!C43</f>
        <v>145.53784400000001</v>
      </c>
    </row>
    <row r="250" spans="1:14" x14ac:dyDescent="0.25">
      <c r="A250" s="137">
        <v>16.100000000000001</v>
      </c>
      <c r="B250" s="134" t="s">
        <v>756</v>
      </c>
      <c r="C250" s="9" t="s">
        <v>435</v>
      </c>
      <c r="D250" s="1"/>
      <c r="E250" s="1"/>
      <c r="F250" s="1"/>
      <c r="G250" s="1"/>
      <c r="H250" s="1"/>
      <c r="I250" s="1"/>
      <c r="J250" s="130">
        <f>h_pt(J249,J248)</f>
        <v>3425.4499595717816</v>
      </c>
      <c r="L250" s="76"/>
    </row>
    <row r="251" spans="1:14" x14ac:dyDescent="0.25">
      <c r="A251" s="133">
        <v>16.11</v>
      </c>
      <c r="B251" s="134" t="s">
        <v>757</v>
      </c>
      <c r="C251" s="9" t="s">
        <v>742</v>
      </c>
      <c r="D251" s="1"/>
      <c r="E251" s="1"/>
      <c r="F251" s="1"/>
      <c r="G251" s="1"/>
      <c r="H251" s="1"/>
      <c r="I251" s="1"/>
      <c r="J251" s="136">
        <f>J250*J247*1000</f>
        <v>2733491255.3984914</v>
      </c>
      <c r="L251" s="76"/>
    </row>
    <row r="252" spans="1:14" x14ac:dyDescent="0.25">
      <c r="A252" s="53"/>
      <c r="B252" s="53"/>
      <c r="C252" s="1"/>
      <c r="D252" s="1"/>
      <c r="E252" s="1"/>
      <c r="F252" s="1"/>
      <c r="G252" s="1"/>
      <c r="H252" s="1"/>
      <c r="I252" s="1"/>
      <c r="J252" s="130"/>
      <c r="L252" s="76"/>
    </row>
    <row r="253" spans="1:14" x14ac:dyDescent="0.25">
      <c r="A253" s="133">
        <v>16.12</v>
      </c>
      <c r="B253" s="134" t="s">
        <v>351</v>
      </c>
      <c r="C253" s="1" t="s">
        <v>270</v>
      </c>
      <c r="D253" s="1"/>
      <c r="E253" s="1"/>
      <c r="F253" s="1"/>
      <c r="G253" s="1"/>
      <c r="H253" s="1"/>
      <c r="I253" s="1"/>
      <c r="J253" s="75">
        <f>N253</f>
        <v>28.0152</v>
      </c>
      <c r="L253" s="135" t="s">
        <v>351</v>
      </c>
      <c r="M253" s="1" t="s">
        <v>270</v>
      </c>
      <c r="N253" s="42">
        <f>[1]Inputs!C44</f>
        <v>28.0152</v>
      </c>
    </row>
    <row r="254" spans="1:14" x14ac:dyDescent="0.25">
      <c r="A254" s="133">
        <v>16.13</v>
      </c>
      <c r="B254" s="134" t="s">
        <v>354</v>
      </c>
      <c r="C254" s="1" t="s">
        <v>266</v>
      </c>
      <c r="D254" s="1"/>
      <c r="E254" s="1"/>
      <c r="F254" s="1"/>
      <c r="G254" s="1"/>
      <c r="H254" s="1"/>
      <c r="I254" s="1"/>
      <c r="J254" s="188">
        <f>N254</f>
        <v>247.18714847999996</v>
      </c>
      <c r="L254" s="135" t="s">
        <v>354</v>
      </c>
      <c r="M254" s="1" t="s">
        <v>266</v>
      </c>
      <c r="N254" s="43">
        <f>Inputs!C45</f>
        <v>247.18714847999996</v>
      </c>
    </row>
    <row r="255" spans="1:14" x14ac:dyDescent="0.25">
      <c r="A255" s="133">
        <v>16.14</v>
      </c>
      <c r="B255" s="134" t="s">
        <v>357</v>
      </c>
      <c r="C255" s="1" t="s">
        <v>342</v>
      </c>
      <c r="D255" s="1"/>
      <c r="E255" s="1"/>
      <c r="F255" s="1"/>
      <c r="G255" s="1"/>
      <c r="H255" s="1"/>
      <c r="I255" s="1"/>
      <c r="J255" s="75">
        <f>N255</f>
        <v>166.33072759999999</v>
      </c>
      <c r="L255" s="135" t="s">
        <v>357</v>
      </c>
      <c r="M255" s="1" t="s">
        <v>342</v>
      </c>
      <c r="N255" s="43">
        <f>Inputs!C46</f>
        <v>166.33072759999999</v>
      </c>
    </row>
    <row r="256" spans="1:14" x14ac:dyDescent="0.25">
      <c r="A256" s="133">
        <v>16.149999999999999</v>
      </c>
      <c r="B256" s="134" t="s">
        <v>758</v>
      </c>
      <c r="C256" s="9" t="s">
        <v>435</v>
      </c>
      <c r="D256" s="1"/>
      <c r="E256" s="1"/>
      <c r="F256" s="1"/>
      <c r="G256" s="1"/>
      <c r="H256" s="1"/>
      <c r="I256" s="1"/>
      <c r="J256" s="130">
        <f>h_pt(J255,J254)</f>
        <v>1072.9600508195538</v>
      </c>
      <c r="L256" s="76"/>
    </row>
    <row r="257" spans="1:14" x14ac:dyDescent="0.25">
      <c r="A257" s="133">
        <v>16.16</v>
      </c>
      <c r="B257" s="134" t="s">
        <v>759</v>
      </c>
      <c r="C257" s="9" t="s">
        <v>742</v>
      </c>
      <c r="D257" s="1"/>
      <c r="E257" s="1"/>
      <c r="F257" s="1"/>
      <c r="G257" s="1"/>
      <c r="H257" s="1"/>
      <c r="I257" s="1"/>
      <c r="J257" s="136">
        <f>J256*J253*1000</f>
        <v>30059190.415719964</v>
      </c>
      <c r="L257" s="76"/>
    </row>
    <row r="258" spans="1:14" x14ac:dyDescent="0.25">
      <c r="A258" s="53"/>
      <c r="B258" s="53"/>
      <c r="C258" s="1"/>
      <c r="D258" s="1"/>
      <c r="E258" s="1"/>
      <c r="F258" s="1"/>
      <c r="G258" s="1"/>
      <c r="H258" s="1"/>
      <c r="I258" s="1"/>
      <c r="J258" s="130"/>
      <c r="L258" s="76"/>
    </row>
    <row r="259" spans="1:14" x14ac:dyDescent="0.25">
      <c r="A259" s="133">
        <v>16.170000000000002</v>
      </c>
      <c r="B259" s="134" t="s">
        <v>360</v>
      </c>
      <c r="C259" s="1" t="s">
        <v>270</v>
      </c>
      <c r="D259" s="1"/>
      <c r="E259" s="1"/>
      <c r="F259" s="1"/>
      <c r="G259" s="1"/>
      <c r="H259" s="1"/>
      <c r="I259" s="1"/>
      <c r="J259" s="75">
        <f>N259</f>
        <v>0</v>
      </c>
      <c r="L259" s="135" t="s">
        <v>360</v>
      </c>
      <c r="M259" s="1" t="s">
        <v>270</v>
      </c>
      <c r="N259" s="42">
        <f>Inputs!C47</f>
        <v>0</v>
      </c>
    </row>
    <row r="260" spans="1:14" x14ac:dyDescent="0.25">
      <c r="A260" s="133">
        <v>16.18</v>
      </c>
      <c r="B260" s="134" t="s">
        <v>363</v>
      </c>
      <c r="C260" s="1" t="s">
        <v>266</v>
      </c>
      <c r="D260" s="1"/>
      <c r="E260" s="1"/>
      <c r="F260" s="1"/>
      <c r="G260" s="1"/>
      <c r="H260" s="1"/>
      <c r="I260" s="1"/>
      <c r="J260" s="188">
        <f>N260</f>
        <v>540.56729999999993</v>
      </c>
      <c r="L260" s="135" t="s">
        <v>363</v>
      </c>
      <c r="M260" s="1" t="s">
        <v>266</v>
      </c>
      <c r="N260" s="43">
        <f>Inputs!C48</f>
        <v>540.56729999999993</v>
      </c>
    </row>
    <row r="261" spans="1:14" x14ac:dyDescent="0.25">
      <c r="A261" s="133">
        <v>16.190000000000001</v>
      </c>
      <c r="B261" s="134" t="s">
        <v>366</v>
      </c>
      <c r="C261" s="1" t="s">
        <v>342</v>
      </c>
      <c r="D261" s="1"/>
      <c r="E261" s="1"/>
      <c r="F261" s="1"/>
      <c r="G261" s="1"/>
      <c r="H261" s="1"/>
      <c r="I261" s="1"/>
      <c r="J261" s="75">
        <f>N261</f>
        <v>36.294076399999994</v>
      </c>
      <c r="L261" s="135" t="s">
        <v>366</v>
      </c>
      <c r="M261" s="1" t="s">
        <v>342</v>
      </c>
      <c r="N261" s="43">
        <f>Inputs!C49</f>
        <v>36.294076399999994</v>
      </c>
    </row>
    <row r="262" spans="1:14" x14ac:dyDescent="0.25">
      <c r="A262" s="137">
        <v>16.2</v>
      </c>
      <c r="B262" s="134" t="s">
        <v>760</v>
      </c>
      <c r="C262" s="9" t="s">
        <v>435</v>
      </c>
      <c r="D262" s="1"/>
      <c r="E262" s="1"/>
      <c r="F262" s="1"/>
      <c r="G262" s="1"/>
      <c r="H262" s="1"/>
      <c r="I262" s="1"/>
      <c r="J262" s="130">
        <f>h_pt(J261,J260)</f>
        <v>3542.2371260625723</v>
      </c>
      <c r="L262" s="76"/>
    </row>
    <row r="263" spans="1:14" x14ac:dyDescent="0.25">
      <c r="A263" s="133">
        <v>16.21</v>
      </c>
      <c r="B263" s="134" t="s">
        <v>761</v>
      </c>
      <c r="C263" s="9" t="s">
        <v>742</v>
      </c>
      <c r="D263" s="1"/>
      <c r="E263" s="1"/>
      <c r="F263" s="1"/>
      <c r="G263" s="1"/>
      <c r="H263" s="1"/>
      <c r="I263" s="1"/>
      <c r="J263" s="136">
        <f>J262*J259*1000</f>
        <v>0</v>
      </c>
      <c r="L263" s="76"/>
    </row>
    <row r="264" spans="1:14" x14ac:dyDescent="0.25">
      <c r="A264" s="53"/>
      <c r="B264" s="53"/>
      <c r="C264" s="1"/>
      <c r="D264" s="1"/>
      <c r="E264" s="1"/>
      <c r="F264" s="1"/>
      <c r="G264" s="1"/>
      <c r="H264" s="1"/>
      <c r="I264" s="1"/>
      <c r="J264" s="130"/>
      <c r="L264" s="76"/>
    </row>
    <row r="265" spans="1:14" x14ac:dyDescent="0.25">
      <c r="A265" s="133">
        <v>16.22</v>
      </c>
      <c r="B265" s="134" t="s">
        <v>369</v>
      </c>
      <c r="C265" s="1" t="s">
        <v>270</v>
      </c>
      <c r="D265" s="1"/>
      <c r="E265" s="1"/>
      <c r="F265" s="1"/>
      <c r="G265" s="1"/>
      <c r="H265" s="1"/>
      <c r="I265" s="1"/>
      <c r="J265" s="75">
        <f>N265</f>
        <v>0</v>
      </c>
      <c r="L265" s="135" t="s">
        <v>369</v>
      </c>
      <c r="M265" s="1" t="s">
        <v>270</v>
      </c>
      <c r="N265" s="42">
        <f>Inputs!C50</f>
        <v>0</v>
      </c>
    </row>
    <row r="266" spans="1:14" x14ac:dyDescent="0.25">
      <c r="A266" s="133">
        <v>16.23</v>
      </c>
      <c r="B266" s="134" t="s">
        <v>371</v>
      </c>
      <c r="C266" s="1" t="s">
        <v>266</v>
      </c>
      <c r="D266" s="1"/>
      <c r="E266" s="1"/>
      <c r="F266" s="1"/>
      <c r="G266" s="1"/>
      <c r="H266" s="1"/>
      <c r="I266" s="1"/>
      <c r="J266" s="188">
        <f>N266</f>
        <v>345.60399999999993</v>
      </c>
      <c r="L266" s="135" t="s">
        <v>371</v>
      </c>
      <c r="M266" s="1" t="s">
        <v>266</v>
      </c>
      <c r="N266" s="43">
        <f>Inputs!C51</f>
        <v>345.60399999999993</v>
      </c>
    </row>
    <row r="267" spans="1:14" x14ac:dyDescent="0.25">
      <c r="A267" s="133">
        <v>16.239999999999998</v>
      </c>
      <c r="B267" s="134" t="s">
        <v>373</v>
      </c>
      <c r="C267" s="1" t="s">
        <v>342</v>
      </c>
      <c r="D267" s="1"/>
      <c r="E267" s="1"/>
      <c r="F267" s="1"/>
      <c r="G267" s="1"/>
      <c r="H267" s="1"/>
      <c r="I267" s="1"/>
      <c r="J267" s="75">
        <f>N267</f>
        <v>38.355745999999989</v>
      </c>
      <c r="L267" s="135" t="s">
        <v>373</v>
      </c>
      <c r="M267" s="1" t="s">
        <v>342</v>
      </c>
      <c r="N267" s="43">
        <f>Inputs!C52</f>
        <v>38.355745999999989</v>
      </c>
    </row>
    <row r="268" spans="1:14" x14ac:dyDescent="0.25">
      <c r="A268" s="133">
        <v>16.25</v>
      </c>
      <c r="B268" s="134" t="s">
        <v>762</v>
      </c>
      <c r="C268" s="9" t="s">
        <v>435</v>
      </c>
      <c r="D268" s="1"/>
      <c r="E268" s="1"/>
      <c r="F268" s="1"/>
      <c r="G268" s="1"/>
      <c r="H268" s="1"/>
      <c r="I268" s="1"/>
      <c r="J268" s="130">
        <f>h_pt(J267,J266)</f>
        <v>3086.2402840733289</v>
      </c>
      <c r="L268" s="76"/>
    </row>
    <row r="269" spans="1:14" x14ac:dyDescent="0.25">
      <c r="A269" s="133">
        <v>16.260000000000002</v>
      </c>
      <c r="B269" s="134" t="s">
        <v>763</v>
      </c>
      <c r="C269" s="9" t="s">
        <v>742</v>
      </c>
      <c r="D269" s="1"/>
      <c r="E269" s="1"/>
      <c r="F269" s="1"/>
      <c r="G269" s="1"/>
      <c r="H269" s="1"/>
      <c r="I269" s="1"/>
      <c r="J269" s="136">
        <f>J268*J265*1000</f>
        <v>0</v>
      </c>
      <c r="L269" s="76"/>
    </row>
    <row r="270" spans="1:14" x14ac:dyDescent="0.25">
      <c r="A270" s="53"/>
      <c r="B270" s="53"/>
      <c r="C270" s="1"/>
      <c r="D270" s="1"/>
      <c r="E270" s="1"/>
      <c r="F270" s="1"/>
      <c r="G270" s="1"/>
      <c r="H270" s="1"/>
      <c r="I270" s="1"/>
      <c r="J270" s="130"/>
      <c r="L270" s="76"/>
    </row>
    <row r="271" spans="1:14" x14ac:dyDescent="0.25">
      <c r="A271" s="133">
        <v>16.27</v>
      </c>
      <c r="B271" s="134" t="s">
        <v>376</v>
      </c>
      <c r="C271" s="1" t="s">
        <v>270</v>
      </c>
      <c r="D271" s="1"/>
      <c r="E271" s="1"/>
      <c r="F271" s="1"/>
      <c r="G271" s="1"/>
      <c r="H271" s="1"/>
      <c r="I271" s="1"/>
      <c r="J271" s="75">
        <f>N271</f>
        <v>25.283999999999992</v>
      </c>
      <c r="L271" s="135" t="s">
        <v>376</v>
      </c>
      <c r="M271" s="1" t="s">
        <v>270</v>
      </c>
      <c r="N271" s="43">
        <f>Inputs!C53</f>
        <v>25.283999999999992</v>
      </c>
    </row>
    <row r="272" spans="1:14" x14ac:dyDescent="0.25">
      <c r="A272" s="133">
        <v>16.28</v>
      </c>
      <c r="B272" s="134" t="s">
        <v>379</v>
      </c>
      <c r="C272" s="1" t="s">
        <v>266</v>
      </c>
      <c r="D272" s="1"/>
      <c r="E272" s="1"/>
      <c r="F272" s="1"/>
      <c r="G272" s="1"/>
      <c r="H272" s="1"/>
      <c r="I272" s="1"/>
      <c r="J272" s="188">
        <f>N272</f>
        <v>247.30479999999986</v>
      </c>
      <c r="L272" s="135" t="s">
        <v>379</v>
      </c>
      <c r="M272" s="1" t="s">
        <v>266</v>
      </c>
      <c r="N272" s="43">
        <f>Inputs!C54</f>
        <v>247.30479999999986</v>
      </c>
    </row>
    <row r="273" spans="1:14" x14ac:dyDescent="0.25">
      <c r="A273" s="133">
        <v>16.29</v>
      </c>
      <c r="B273" s="134" t="s">
        <v>382</v>
      </c>
      <c r="C273" s="1" t="s">
        <v>342</v>
      </c>
      <c r="D273" s="1"/>
      <c r="E273" s="1"/>
      <c r="F273" s="1"/>
      <c r="G273" s="1"/>
      <c r="H273" s="1"/>
      <c r="I273" s="1"/>
      <c r="J273" s="75">
        <f>N273</f>
        <v>166.33072759999999</v>
      </c>
      <c r="L273" s="135" t="s">
        <v>382</v>
      </c>
      <c r="M273" s="1" t="s">
        <v>342</v>
      </c>
      <c r="N273" s="43">
        <f>Inputs!C55</f>
        <v>166.33072759999999</v>
      </c>
    </row>
    <row r="274" spans="1:14" x14ac:dyDescent="0.25">
      <c r="A274" s="137">
        <v>16.3</v>
      </c>
      <c r="B274" s="134" t="s">
        <v>764</v>
      </c>
      <c r="C274" s="9" t="s">
        <v>435</v>
      </c>
      <c r="D274" s="1"/>
      <c r="E274" s="1"/>
      <c r="F274" s="1"/>
      <c r="G274" s="1"/>
      <c r="H274" s="1"/>
      <c r="I274" s="1"/>
      <c r="J274" s="130">
        <f>h_pt(J273,J272)</f>
        <v>1073.5121273205798</v>
      </c>
      <c r="L274" s="71"/>
    </row>
    <row r="275" spans="1:14" x14ac:dyDescent="0.25">
      <c r="A275" s="133">
        <v>16.309999999999999</v>
      </c>
      <c r="B275" s="134" t="s">
        <v>765</v>
      </c>
      <c r="C275" s="9" t="s">
        <v>742</v>
      </c>
      <c r="D275" s="1"/>
      <c r="E275" s="1"/>
      <c r="F275" s="1"/>
      <c r="G275" s="1"/>
      <c r="H275" s="1"/>
      <c r="I275" s="1"/>
      <c r="J275" s="136">
        <f>J274*J271*1000</f>
        <v>27142680.627173528</v>
      </c>
      <c r="L275" s="71"/>
    </row>
    <row r="276" spans="1:14" x14ac:dyDescent="0.25">
      <c r="A276" s="53"/>
      <c r="B276" s="53"/>
      <c r="C276" s="1"/>
      <c r="D276" s="1"/>
      <c r="E276" s="1"/>
      <c r="F276" s="1"/>
      <c r="G276" s="1"/>
      <c r="H276" s="1"/>
      <c r="I276" s="1"/>
      <c r="J276" s="132"/>
      <c r="L276" s="71"/>
    </row>
    <row r="277" spans="1:14" ht="15.75" thickBot="1" x14ac:dyDescent="0.3">
      <c r="A277" s="133">
        <v>16.32</v>
      </c>
      <c r="B277" s="138" t="s">
        <v>766</v>
      </c>
      <c r="C277" s="98" t="s">
        <v>742</v>
      </c>
      <c r="D277" s="98"/>
      <c r="E277" s="98"/>
      <c r="F277" s="98"/>
      <c r="G277" s="98"/>
      <c r="H277" s="98"/>
      <c r="I277" s="98"/>
      <c r="J277" s="124">
        <f>(J251-J245)+(J263-J269)-(J257+J275)</f>
        <v>1784181825.1015897</v>
      </c>
      <c r="L277" s="71"/>
    </row>
    <row r="278" spans="1:14" ht="15.75" thickBot="1" x14ac:dyDescent="0.3">
      <c r="A278" s="53"/>
      <c r="B278" s="1"/>
      <c r="C278" s="1"/>
      <c r="D278" s="1"/>
      <c r="E278" s="1"/>
      <c r="F278" s="1"/>
      <c r="G278" s="1"/>
      <c r="H278" s="1"/>
      <c r="I278" s="1"/>
      <c r="J278" s="132"/>
    </row>
    <row r="279" spans="1:14" ht="18.75" x14ac:dyDescent="0.3">
      <c r="A279" s="105">
        <v>17</v>
      </c>
      <c r="B279" s="93" t="s">
        <v>767</v>
      </c>
      <c r="C279" s="85"/>
      <c r="D279" s="85"/>
      <c r="E279" s="85"/>
      <c r="F279" s="85"/>
      <c r="G279" s="85"/>
      <c r="H279" s="85"/>
      <c r="I279" s="85"/>
      <c r="J279" s="95"/>
      <c r="L279" s="191"/>
    </row>
    <row r="280" spans="1:14" ht="15" customHeight="1" x14ac:dyDescent="0.3">
      <c r="A280" s="105"/>
      <c r="B280" s="73"/>
      <c r="C280" s="1"/>
      <c r="D280" s="1"/>
      <c r="E280" s="1"/>
      <c r="F280" s="1"/>
      <c r="G280" s="1"/>
      <c r="H280" s="1"/>
      <c r="I280" s="1"/>
      <c r="J280" s="54"/>
      <c r="L280" s="43"/>
    </row>
    <row r="281" spans="1:14" x14ac:dyDescent="0.25">
      <c r="A281" s="139">
        <v>17.100000000000001</v>
      </c>
      <c r="B281" s="53" t="s">
        <v>768</v>
      </c>
      <c r="C281" s="96" t="s">
        <v>1</v>
      </c>
      <c r="D281" s="1"/>
      <c r="E281" s="1"/>
      <c r="F281" s="1"/>
      <c r="G281" s="1"/>
      <c r="H281" s="1"/>
      <c r="I281" s="1"/>
      <c r="J281" s="140">
        <f>J222*J211*100</f>
        <v>8.4440781974135497</v>
      </c>
      <c r="M281" s="43"/>
    </row>
    <row r="282" spans="1:14" x14ac:dyDescent="0.25">
      <c r="A282" s="139">
        <v>17.2</v>
      </c>
      <c r="B282" s="53" t="s">
        <v>769</v>
      </c>
      <c r="C282" s="96" t="s">
        <v>1</v>
      </c>
      <c r="D282" s="1"/>
      <c r="E282" s="1"/>
      <c r="F282" s="1"/>
      <c r="G282" s="1"/>
      <c r="H282" s="1"/>
      <c r="I282" s="1"/>
      <c r="J282" s="140">
        <f>J223*(J213-J204)*100</f>
        <v>4.5109994131550399</v>
      </c>
      <c r="M282" s="43"/>
    </row>
    <row r="283" spans="1:14" x14ac:dyDescent="0.25">
      <c r="A283" s="139">
        <v>17.3</v>
      </c>
      <c r="B283" s="53" t="s">
        <v>770</v>
      </c>
      <c r="C283" s="96" t="s">
        <v>1</v>
      </c>
      <c r="D283" s="1"/>
      <c r="E283" s="1"/>
      <c r="F283" s="1"/>
      <c r="G283" s="1"/>
      <c r="H283" s="1"/>
      <c r="I283" s="1"/>
      <c r="J283" s="141">
        <f>J224*(J213-J204)*100</f>
        <v>2.8467481602370293</v>
      </c>
      <c r="M283" s="43"/>
    </row>
    <row r="284" spans="1:14" x14ac:dyDescent="0.25">
      <c r="A284" s="139">
        <v>17.399999999999999</v>
      </c>
      <c r="B284" s="53" t="s">
        <v>771</v>
      </c>
      <c r="C284" s="96" t="s">
        <v>1</v>
      </c>
      <c r="D284" s="1"/>
      <c r="E284" s="1"/>
      <c r="F284" s="1"/>
      <c r="G284" s="1"/>
      <c r="H284" s="1"/>
      <c r="I284" s="1"/>
      <c r="J284" s="141">
        <f>J226*J212*100</f>
        <v>0.20038546811188507</v>
      </c>
      <c r="L284" s="107"/>
      <c r="M284" s="43"/>
    </row>
    <row r="285" spans="1:14" x14ac:dyDescent="0.25">
      <c r="A285" s="139">
        <v>17.5</v>
      </c>
      <c r="B285" s="53" t="s">
        <v>772</v>
      </c>
      <c r="C285" s="96" t="s">
        <v>1</v>
      </c>
      <c r="D285" s="1"/>
      <c r="E285" s="1"/>
      <c r="F285" s="1"/>
      <c r="G285" s="1"/>
      <c r="H285" s="1"/>
      <c r="I285" s="1"/>
      <c r="J285" s="141">
        <f>J228*8054*4.1868/J229</f>
        <v>0.9933926697672828</v>
      </c>
      <c r="M285" s="43"/>
    </row>
    <row r="286" spans="1:14" x14ac:dyDescent="0.25">
      <c r="A286" s="139">
        <v>17.600000000000001</v>
      </c>
      <c r="B286" s="53" t="s">
        <v>773</v>
      </c>
      <c r="C286" s="96" t="s">
        <v>1</v>
      </c>
      <c r="D286" s="1"/>
      <c r="E286" s="1"/>
      <c r="F286" s="1"/>
      <c r="G286" s="1"/>
      <c r="H286" s="1"/>
      <c r="I286" s="1"/>
      <c r="J286" s="141">
        <f>J89</f>
        <v>0.65564350101838076</v>
      </c>
      <c r="M286" s="43"/>
    </row>
    <row r="287" spans="1:14" x14ac:dyDescent="0.25">
      <c r="A287" s="139">
        <v>17.7</v>
      </c>
      <c r="B287" s="53" t="s">
        <v>774</v>
      </c>
      <c r="C287" s="96" t="s">
        <v>1</v>
      </c>
      <c r="D287" s="1"/>
      <c r="E287" s="1"/>
      <c r="F287" s="1"/>
      <c r="G287" s="1"/>
      <c r="H287" s="1"/>
      <c r="I287" s="1"/>
      <c r="J287" s="141">
        <v>8.0999999999999996E-3</v>
      </c>
      <c r="L287" s="107"/>
      <c r="M287" s="43"/>
    </row>
    <row r="288" spans="1:14" x14ac:dyDescent="0.25">
      <c r="A288" s="139">
        <v>17.8</v>
      </c>
      <c r="B288" s="53" t="s">
        <v>775</v>
      </c>
      <c r="C288" s="96" t="s">
        <v>1</v>
      </c>
      <c r="D288" s="1"/>
      <c r="E288" s="1"/>
      <c r="F288" s="1"/>
      <c r="G288" s="1"/>
      <c r="H288" s="1"/>
      <c r="I288" s="1"/>
      <c r="J288" s="141">
        <f>(N17*N18)/(J227*J229)%</f>
        <v>0</v>
      </c>
      <c r="L288" s="107"/>
      <c r="M288" s="43"/>
    </row>
    <row r="289" spans="1:16" ht="15.75" x14ac:dyDescent="0.25">
      <c r="A289" s="142">
        <v>17</v>
      </c>
      <c r="B289" s="143" t="s">
        <v>776</v>
      </c>
      <c r="C289" s="144" t="s">
        <v>1</v>
      </c>
      <c r="D289" s="145"/>
      <c r="E289" s="145"/>
      <c r="F289" s="145"/>
      <c r="G289" s="145"/>
      <c r="H289" s="145"/>
      <c r="I289" s="145"/>
      <c r="J289" s="146">
        <f>J281+J282+J283+J284+J285+J286+J287+J288</f>
        <v>17.659347409703166</v>
      </c>
      <c r="L289" s="147"/>
      <c r="M289" s="147"/>
      <c r="O289" s="167">
        <f>J289-J301</f>
        <v>17.91595901181935</v>
      </c>
    </row>
    <row r="290" spans="1:16" x14ac:dyDescent="0.25">
      <c r="A290" s="139"/>
      <c r="B290" s="53"/>
      <c r="C290" s="1"/>
      <c r="D290" s="1"/>
      <c r="E290" s="1"/>
      <c r="F290" s="1"/>
      <c r="G290" s="1"/>
      <c r="H290" s="1"/>
      <c r="I290" s="1"/>
      <c r="J290" s="148"/>
    </row>
    <row r="291" spans="1:16" x14ac:dyDescent="0.25">
      <c r="A291" s="139">
        <v>17.899999999999999</v>
      </c>
      <c r="B291" s="53" t="s">
        <v>777</v>
      </c>
      <c r="C291" s="96" t="s">
        <v>1</v>
      </c>
      <c r="D291" s="1"/>
      <c r="E291" s="1"/>
      <c r="F291" s="1"/>
      <c r="G291" s="1"/>
      <c r="H291" s="1"/>
      <c r="I291" s="1"/>
      <c r="J291" s="77">
        <v>0.21</v>
      </c>
    </row>
    <row r="292" spans="1:16" x14ac:dyDescent="0.25">
      <c r="A292" s="128">
        <v>17.100000000000001</v>
      </c>
      <c r="B292" s="53" t="s">
        <v>778</v>
      </c>
      <c r="C292" s="149" t="s">
        <v>742</v>
      </c>
      <c r="D292" s="1"/>
      <c r="E292" s="1"/>
      <c r="F292" s="1"/>
      <c r="G292" s="1"/>
      <c r="H292" s="1"/>
      <c r="I292" s="1"/>
      <c r="J292" s="148">
        <f>(J277/N19)*100</f>
        <v>2039531121.5153058</v>
      </c>
    </row>
    <row r="293" spans="1:16" x14ac:dyDescent="0.25">
      <c r="A293" s="128">
        <v>17.11</v>
      </c>
      <c r="B293" s="53" t="s">
        <v>779</v>
      </c>
      <c r="C293" s="149" t="s">
        <v>742</v>
      </c>
      <c r="D293" s="1"/>
      <c r="E293" s="1"/>
      <c r="F293" s="1"/>
      <c r="G293" s="1"/>
      <c r="H293" s="1"/>
      <c r="I293" s="1"/>
      <c r="J293" s="150">
        <f>J291/100*J292</f>
        <v>4283015.355182142</v>
      </c>
    </row>
    <row r="294" spans="1:16" ht="30" x14ac:dyDescent="0.25">
      <c r="A294" s="137">
        <v>17.12</v>
      </c>
      <c r="B294" s="151" t="s">
        <v>780</v>
      </c>
      <c r="C294" s="149" t="s">
        <v>742</v>
      </c>
      <c r="D294" s="1"/>
      <c r="E294" s="1"/>
      <c r="F294" s="1"/>
      <c r="G294" s="1"/>
      <c r="H294" s="1"/>
      <c r="I294" s="1"/>
      <c r="J294" s="152">
        <f>J233*J234</f>
        <v>1979635.4526000002</v>
      </c>
    </row>
    <row r="295" spans="1:16" x14ac:dyDescent="0.25">
      <c r="A295" s="128">
        <v>17.13</v>
      </c>
      <c r="B295" s="53" t="s">
        <v>781</v>
      </c>
      <c r="C295" s="149" t="s">
        <v>742</v>
      </c>
      <c r="D295" s="1"/>
      <c r="E295" s="1"/>
      <c r="F295" s="1"/>
      <c r="G295" s="1"/>
      <c r="H295" s="1"/>
      <c r="I295" s="1"/>
      <c r="J295" s="150">
        <f>J293+J294</f>
        <v>6262650.8077821424</v>
      </c>
      <c r="M295" s="153"/>
    </row>
    <row r="296" spans="1:16" x14ac:dyDescent="0.25">
      <c r="A296" s="154"/>
      <c r="B296" s="53"/>
      <c r="C296" s="1"/>
      <c r="D296" s="1"/>
      <c r="E296" s="1"/>
      <c r="F296" s="1"/>
      <c r="G296" s="1"/>
      <c r="H296" s="1"/>
      <c r="I296" s="1"/>
      <c r="J296" s="54"/>
    </row>
    <row r="297" spans="1:16" x14ac:dyDescent="0.25">
      <c r="A297" s="154"/>
      <c r="B297" s="155" t="s">
        <v>782</v>
      </c>
      <c r="C297" s="1"/>
      <c r="D297" s="1"/>
      <c r="E297" s="1"/>
      <c r="F297" s="1"/>
      <c r="G297" s="1"/>
      <c r="H297" s="1"/>
      <c r="I297" s="1"/>
      <c r="J297" s="54"/>
    </row>
    <row r="298" spans="1:16" x14ac:dyDescent="0.25">
      <c r="A298" s="128">
        <v>17.14</v>
      </c>
      <c r="B298" s="53" t="s">
        <v>783</v>
      </c>
      <c r="C298" s="96" t="s">
        <v>1</v>
      </c>
      <c r="D298" s="1"/>
      <c r="E298" s="1"/>
      <c r="F298" s="1"/>
      <c r="G298" s="1"/>
      <c r="H298" s="1"/>
      <c r="I298" s="1"/>
      <c r="J298" s="54">
        <f>J221*J207*100</f>
        <v>-0.26868359104380807</v>
      </c>
    </row>
    <row r="299" spans="1:16" x14ac:dyDescent="0.25">
      <c r="A299" s="128">
        <v>17.149999999999999</v>
      </c>
      <c r="B299" s="53" t="s">
        <v>784</v>
      </c>
      <c r="C299" s="96" t="s">
        <v>1</v>
      </c>
      <c r="D299" s="1"/>
      <c r="E299" s="1"/>
      <c r="F299" s="1"/>
      <c r="G299" s="1"/>
      <c r="H299" s="1"/>
      <c r="I299" s="1"/>
      <c r="J299" s="156">
        <f>J226*J208*100</f>
        <v>1.2634280854291422E-2</v>
      </c>
    </row>
    <row r="300" spans="1:16" x14ac:dyDescent="0.25">
      <c r="A300" s="128">
        <v>17.16</v>
      </c>
      <c r="B300" s="53" t="s">
        <v>785</v>
      </c>
      <c r="C300" s="96" t="s">
        <v>1</v>
      </c>
      <c r="D300" s="1"/>
      <c r="E300" s="1"/>
      <c r="F300" s="1"/>
      <c r="G300" s="1"/>
      <c r="H300" s="1"/>
      <c r="I300" s="1"/>
      <c r="J300" s="156">
        <f>J216/J229</f>
        <v>-5.6229192666641681E-4</v>
      </c>
    </row>
    <row r="301" spans="1:16" x14ac:dyDescent="0.25">
      <c r="A301" s="128">
        <v>17.170000000000002</v>
      </c>
      <c r="B301" s="53" t="s">
        <v>786</v>
      </c>
      <c r="C301" s="96" t="s">
        <v>1</v>
      </c>
      <c r="D301" s="1"/>
      <c r="E301" s="1"/>
      <c r="F301" s="1"/>
      <c r="G301" s="1"/>
      <c r="H301" s="1"/>
      <c r="I301" s="1"/>
      <c r="J301" s="157">
        <f>J298+J299+J300</f>
        <v>-0.25661160211618306</v>
      </c>
      <c r="M301" s="43"/>
    </row>
    <row r="302" spans="1:16" x14ac:dyDescent="0.25">
      <c r="A302" s="128">
        <v>17.18</v>
      </c>
      <c r="B302" s="53" t="s">
        <v>787</v>
      </c>
      <c r="C302" s="149" t="s">
        <v>742</v>
      </c>
      <c r="D302" s="1"/>
      <c r="E302" s="1"/>
      <c r="F302" s="1"/>
      <c r="G302" s="1"/>
      <c r="H302" s="1"/>
      <c r="I302" s="1"/>
      <c r="J302" s="158">
        <f>Inputs!C19</f>
        <v>17000</v>
      </c>
    </row>
    <row r="303" spans="1:16" ht="15.75" thickBot="1" x14ac:dyDescent="0.3">
      <c r="A303" s="53"/>
      <c r="B303" s="53"/>
      <c r="C303" s="1"/>
      <c r="D303" s="1"/>
      <c r="E303" s="1"/>
      <c r="F303" s="1"/>
      <c r="G303" s="1"/>
      <c r="H303" s="1"/>
      <c r="I303" s="1"/>
      <c r="J303" s="54"/>
    </row>
    <row r="304" spans="1:16" s="164" customFormat="1" ht="38.25" thickBot="1" x14ac:dyDescent="0.35">
      <c r="A304" s="159">
        <v>17.190000000000001</v>
      </c>
      <c r="B304" s="160" t="s">
        <v>788</v>
      </c>
      <c r="C304" s="161" t="s">
        <v>1</v>
      </c>
      <c r="D304" s="162" t="s">
        <v>1475</v>
      </c>
      <c r="E304" s="162"/>
      <c r="F304" s="162"/>
      <c r="G304" s="162"/>
      <c r="H304" s="162"/>
      <c r="I304" s="162"/>
      <c r="J304" s="163">
        <f>(100-J289-J301)*(J277/(J277+J295-J302))</f>
        <v>82.3091354205051</v>
      </c>
      <c r="L304" s="165"/>
      <c r="M304" s="166"/>
      <c r="O304" s="189">
        <f>J304+O289</f>
        <v>100.22509443232445</v>
      </c>
      <c r="P304" s="190">
        <f>100-O304</f>
        <v>-0.22509443232445392</v>
      </c>
    </row>
    <row r="305" spans="10:17" x14ac:dyDescent="0.25">
      <c r="N305" s="1"/>
      <c r="O305" s="1"/>
      <c r="P305" s="1"/>
      <c r="Q305" s="1"/>
    </row>
    <row r="306" spans="10:17" x14ac:dyDescent="0.25">
      <c r="J306" s="167">
        <f>100-O306</f>
        <v>82.3091354205051</v>
      </c>
      <c r="O306" s="167">
        <f>J289+P304-J301</f>
        <v>17.690864579494896</v>
      </c>
      <c r="P306" s="44"/>
    </row>
    <row r="307" spans="10:17" x14ac:dyDescent="0.25">
      <c r="J307" s="44">
        <f>J304*K307/100+J304</f>
        <v>82.910478116684274</v>
      </c>
      <c r="K307" s="209">
        <v>0.73059046618215295</v>
      </c>
    </row>
  </sheetData>
  <mergeCells count="7">
    <mergeCell ref="A2:J2"/>
    <mergeCell ref="L14:L15"/>
    <mergeCell ref="M14:M15"/>
    <mergeCell ref="N14:N15"/>
    <mergeCell ref="H3:J3"/>
    <mergeCell ref="A3:B3"/>
    <mergeCell ref="D3:G3"/>
  </mergeCells>
  <pageMargins left="0.70866141732283472" right="0.70866141732283472" top="0.66" bottom="0.74803149606299213" header="0.31496062992125984" footer="0.31496062992125984"/>
  <pageSetup paperSize="9" scale="55" fitToHeight="0" orientation="landscape" r:id="rId1"/>
  <rowBreaks count="1" manualBreakCount="1">
    <brk id="45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2"/>
  <sheetViews>
    <sheetView zoomScale="85" zoomScaleNormal="85" workbookViewId="0">
      <selection activeCell="B20" sqref="B20"/>
    </sheetView>
  </sheetViews>
  <sheetFormatPr defaultRowHeight="15" x14ac:dyDescent="0.25"/>
  <cols>
    <col min="1" max="1" width="45.28515625" style="42" customWidth="1"/>
    <col min="2" max="2" width="15.140625" style="42" bestFit="1" customWidth="1"/>
    <col min="3" max="3" width="10.7109375" style="42" bestFit="1" customWidth="1"/>
    <col min="4" max="4" width="12.28515625" style="42" bestFit="1" customWidth="1"/>
    <col min="5" max="5" width="28" style="42" customWidth="1"/>
    <col min="6" max="6" width="20.85546875" style="42" customWidth="1"/>
    <col min="7" max="7" width="21" style="42" customWidth="1"/>
    <col min="8" max="8" width="14.7109375" style="42" customWidth="1"/>
    <col min="9" max="16384" width="9.140625" style="42"/>
  </cols>
  <sheetData>
    <row r="1" spans="1:10" ht="15.75" thickBot="1" x14ac:dyDescent="0.3"/>
    <row r="2" spans="1:10" ht="75" customHeight="1" thickBot="1" x14ac:dyDescent="0.35">
      <c r="A2" s="341" t="s">
        <v>789</v>
      </c>
      <c r="B2" s="342"/>
      <c r="C2" s="342"/>
      <c r="D2" s="342"/>
      <c r="E2" s="342"/>
      <c r="F2" s="343"/>
      <c r="G2" s="344"/>
      <c r="H2" s="46"/>
      <c r="I2" s="46"/>
      <c r="J2" s="46"/>
    </row>
    <row r="3" spans="1:10" ht="31.5" customHeight="1" thickBot="1" x14ac:dyDescent="0.35">
      <c r="A3" s="354" t="s">
        <v>884</v>
      </c>
      <c r="B3" s="352"/>
      <c r="C3" s="352"/>
      <c r="D3" s="352"/>
      <c r="E3" s="192" t="s">
        <v>861</v>
      </c>
      <c r="F3" s="195" t="s">
        <v>1476</v>
      </c>
      <c r="G3" s="193" t="s">
        <v>1503</v>
      </c>
      <c r="H3" s="46"/>
    </row>
    <row r="4" spans="1:10" ht="18.75" x14ac:dyDescent="0.25">
      <c r="E4" s="201" t="s">
        <v>790</v>
      </c>
      <c r="F4" s="202" t="s">
        <v>0</v>
      </c>
      <c r="G4" s="203" t="s">
        <v>254</v>
      </c>
    </row>
    <row r="5" spans="1:10" ht="15.75" x14ac:dyDescent="0.25">
      <c r="A5" s="44" t="s">
        <v>791</v>
      </c>
      <c r="B5" s="167">
        <f>h_pt((G12),G11)</f>
        <v>3425.4499595717816</v>
      </c>
      <c r="C5" s="44" t="s">
        <v>435</v>
      </c>
      <c r="E5" s="168" t="s">
        <v>248</v>
      </c>
      <c r="F5" s="169" t="s">
        <v>277</v>
      </c>
      <c r="G5" s="196">
        <f>Inputs!C18</f>
        <v>270.72959999999995</v>
      </c>
    </row>
    <row r="6" spans="1:10" ht="15.75" x14ac:dyDescent="0.25">
      <c r="A6" s="44" t="s">
        <v>792</v>
      </c>
      <c r="B6" s="167">
        <f>h_pt((G14),G13)</f>
        <v>3535.3316292109457</v>
      </c>
      <c r="C6" s="44" t="s">
        <v>435</v>
      </c>
      <c r="E6" s="168" t="s">
        <v>793</v>
      </c>
      <c r="F6" s="169" t="s">
        <v>270</v>
      </c>
      <c r="G6" s="196">
        <f>Inputs!C41</f>
        <v>797.99479999999983</v>
      </c>
      <c r="I6" s="43"/>
    </row>
    <row r="7" spans="1:10" ht="15.75" x14ac:dyDescent="0.25">
      <c r="A7" s="44" t="s">
        <v>794</v>
      </c>
      <c r="B7" s="167">
        <f>h_pt((G16),G15)</f>
        <v>3086.2402840733289</v>
      </c>
      <c r="C7" s="44" t="s">
        <v>435</v>
      </c>
      <c r="E7" s="168" t="s">
        <v>795</v>
      </c>
      <c r="F7" s="169" t="s">
        <v>270</v>
      </c>
      <c r="G7" s="196">
        <f>Inputs!C38-G9-G10</f>
        <v>705.48599999999988</v>
      </c>
    </row>
    <row r="8" spans="1:10" ht="15.75" x14ac:dyDescent="0.25">
      <c r="A8" s="44" t="s">
        <v>796</v>
      </c>
      <c r="B8" s="167">
        <f>h_pt((G19),G18)</f>
        <v>1074.0691230997238</v>
      </c>
      <c r="C8" s="44" t="s">
        <v>435</v>
      </c>
      <c r="E8" s="168" t="s">
        <v>797</v>
      </c>
      <c r="F8" s="169" t="s">
        <v>270</v>
      </c>
      <c r="G8" s="196">
        <f>Inputs!C16</f>
        <v>201.29679999999996</v>
      </c>
    </row>
    <row r="9" spans="1:10" ht="15.75" x14ac:dyDescent="0.25">
      <c r="A9" s="1"/>
      <c r="B9" s="19"/>
      <c r="C9" s="1"/>
      <c r="E9" s="168" t="s">
        <v>798</v>
      </c>
      <c r="F9" s="169" t="s">
        <v>270</v>
      </c>
      <c r="G9" s="196">
        <f>Inputs!C44</f>
        <v>99.871200000000002</v>
      </c>
    </row>
    <row r="10" spans="1:10" ht="15.75" x14ac:dyDescent="0.25">
      <c r="A10" s="44" t="s">
        <v>868</v>
      </c>
      <c r="B10" s="44">
        <f>G7*(B5-B8)*1000</f>
        <v>1658866260.7993259</v>
      </c>
      <c r="C10" s="44" t="s">
        <v>800</v>
      </c>
      <c r="E10" s="168" t="s">
        <v>799</v>
      </c>
      <c r="F10" s="169" t="s">
        <v>270</v>
      </c>
      <c r="G10" s="196">
        <f>Inputs!C53</f>
        <v>25.283999999999992</v>
      </c>
    </row>
    <row r="11" spans="1:10" ht="15.75" x14ac:dyDescent="0.25">
      <c r="A11" s="44" t="s">
        <v>865</v>
      </c>
      <c r="B11" s="170">
        <f>(B5-B29)*G9*1000</f>
        <v>234945990.17497554</v>
      </c>
      <c r="C11" s="44" t="s">
        <v>800</v>
      </c>
      <c r="E11" s="168" t="s">
        <v>801</v>
      </c>
      <c r="F11" s="169" t="s">
        <v>268</v>
      </c>
      <c r="G11" s="196">
        <f>Inputs!C42</f>
        <v>539.01140000000009</v>
      </c>
      <c r="H11" s="43"/>
    </row>
    <row r="12" spans="1:10" ht="15.75" x14ac:dyDescent="0.25">
      <c r="A12" s="44" t="s">
        <v>866</v>
      </c>
      <c r="B12" s="170">
        <f>(B6-B30)*G10*1000</f>
        <v>62244644.285796002</v>
      </c>
      <c r="C12" s="44" t="s">
        <v>800</v>
      </c>
      <c r="E12" s="168" t="s">
        <v>802</v>
      </c>
      <c r="F12" s="169" t="s">
        <v>342</v>
      </c>
      <c r="G12" s="207">
        <f>Inputs!C43</f>
        <v>145.53784400000001</v>
      </c>
    </row>
    <row r="13" spans="1:10" ht="15.75" x14ac:dyDescent="0.25">
      <c r="A13" s="44" t="s">
        <v>867</v>
      </c>
      <c r="B13" s="170">
        <f>(B6-B7)*G20*1000</f>
        <v>326615656.94677442</v>
      </c>
      <c r="C13" s="44" t="s">
        <v>800</v>
      </c>
      <c r="E13" s="168" t="s">
        <v>803</v>
      </c>
      <c r="F13" s="169" t="s">
        <v>268</v>
      </c>
      <c r="G13" s="196">
        <v>537.53160000000003</v>
      </c>
      <c r="H13" s="71"/>
    </row>
    <row r="14" spans="1:10" ht="15.75" x14ac:dyDescent="0.25">
      <c r="A14" s="44" t="s">
        <v>804</v>
      </c>
      <c r="B14" s="170">
        <f>B11+B12+B13+B10</f>
        <v>2282672552.206872</v>
      </c>
      <c r="C14" s="44" t="s">
        <v>800</v>
      </c>
      <c r="E14" s="168" t="s">
        <v>805</v>
      </c>
      <c r="F14" s="169" t="s">
        <v>342</v>
      </c>
      <c r="G14" s="207">
        <f>Inputs!C49</f>
        <v>36.294076399999994</v>
      </c>
    </row>
    <row r="15" spans="1:10" ht="15.75" x14ac:dyDescent="0.25">
      <c r="A15" s="44"/>
      <c r="B15" s="170">
        <f>B14/4.18</f>
        <v>546093912.01121342</v>
      </c>
      <c r="C15" s="44" t="s">
        <v>806</v>
      </c>
      <c r="E15" s="168" t="s">
        <v>807</v>
      </c>
      <c r="F15" s="169" t="s">
        <v>268</v>
      </c>
      <c r="G15" s="206">
        <f>Inputs!C51</f>
        <v>345.60399999999993</v>
      </c>
    </row>
    <row r="16" spans="1:10" ht="15.75" x14ac:dyDescent="0.25">
      <c r="A16" s="44" t="s">
        <v>808</v>
      </c>
      <c r="B16" s="170">
        <f>G5*1000</f>
        <v>270729.59999999998</v>
      </c>
      <c r="C16" s="44" t="s">
        <v>281</v>
      </c>
      <c r="E16" s="168" t="s">
        <v>809</v>
      </c>
      <c r="F16" s="169" t="s">
        <v>342</v>
      </c>
      <c r="G16" s="207">
        <f>Inputs!C52</f>
        <v>38.355745999999989</v>
      </c>
    </row>
    <row r="17" spans="1:9" ht="15.75" x14ac:dyDescent="0.25">
      <c r="E17" s="168" t="s">
        <v>810</v>
      </c>
      <c r="F17" s="169" t="s">
        <v>811</v>
      </c>
      <c r="G17" s="197">
        <f>Inputs!F52</f>
        <v>78.463656320000013</v>
      </c>
    </row>
    <row r="18" spans="1:9" ht="15.75" x14ac:dyDescent="0.25">
      <c r="A18" s="171" t="s">
        <v>812</v>
      </c>
      <c r="B18" s="172">
        <f>B15/B16</f>
        <v>2017.1193397811451</v>
      </c>
      <c r="C18" s="171" t="s">
        <v>813</v>
      </c>
      <c r="E18" s="173" t="s">
        <v>340</v>
      </c>
      <c r="F18" s="169" t="s">
        <v>268</v>
      </c>
      <c r="G18" s="196">
        <f>Inputs!C39</f>
        <v>247.41319999999996</v>
      </c>
    </row>
    <row r="19" spans="1:9" ht="15.75" x14ac:dyDescent="0.25">
      <c r="A19" s="171" t="s">
        <v>814</v>
      </c>
      <c r="B19" s="172">
        <f>'Boiler Efficiency'!J304</f>
        <v>82.3091354205051</v>
      </c>
      <c r="C19" s="171" t="s">
        <v>1</v>
      </c>
      <c r="E19" s="173" t="s">
        <v>341</v>
      </c>
      <c r="F19" s="169" t="s">
        <v>342</v>
      </c>
      <c r="G19" s="207">
        <v>170.053</v>
      </c>
    </row>
    <row r="20" spans="1:9" ht="16.5" thickBot="1" x14ac:dyDescent="0.3">
      <c r="A20" s="171" t="s">
        <v>815</v>
      </c>
      <c r="B20" s="174">
        <f>(B18/'Boiler Efficiency'!J304)*100</f>
        <v>2450.6627720920446</v>
      </c>
      <c r="C20" s="171" t="s">
        <v>813</v>
      </c>
      <c r="E20" s="175" t="s">
        <v>816</v>
      </c>
      <c r="F20" s="176" t="s">
        <v>270</v>
      </c>
      <c r="G20" s="198">
        <f>B28</f>
        <v>727.28112105275216</v>
      </c>
    </row>
    <row r="21" spans="1:9" x14ac:dyDescent="0.25">
      <c r="G21" s="199"/>
    </row>
    <row r="22" spans="1:9" x14ac:dyDescent="0.25">
      <c r="A22" s="44" t="s">
        <v>817</v>
      </c>
      <c r="B22" s="167">
        <f>h_pt((G23),G22)</f>
        <v>890.62191726303695</v>
      </c>
      <c r="C22" s="44" t="s">
        <v>800</v>
      </c>
      <c r="E22" s="355" t="s">
        <v>818</v>
      </c>
      <c r="F22" s="355"/>
      <c r="G22" s="200">
        <f>Inputs!F53</f>
        <v>207.14959999999999</v>
      </c>
      <c r="I22" s="61"/>
    </row>
    <row r="23" spans="1:9" x14ac:dyDescent="0.25">
      <c r="A23" s="44" t="s">
        <v>819</v>
      </c>
      <c r="B23" s="167">
        <f>h_pt((G25),G24)</f>
        <v>1074.0691532528358</v>
      </c>
      <c r="C23" s="44" t="s">
        <v>800</v>
      </c>
      <c r="E23" s="355" t="s">
        <v>820</v>
      </c>
      <c r="F23" s="355"/>
      <c r="G23" s="208">
        <f>Inputs!F54</f>
        <v>168.77420240000001</v>
      </c>
      <c r="I23" s="61"/>
    </row>
    <row r="24" spans="1:9" x14ac:dyDescent="0.25">
      <c r="A24" s="44" t="s">
        <v>821</v>
      </c>
      <c r="B24" s="167">
        <f>h_pt((G27),G26)</f>
        <v>3083.6228446237483</v>
      </c>
      <c r="C24" s="44" t="s">
        <v>800</v>
      </c>
      <c r="E24" s="355" t="s">
        <v>822</v>
      </c>
      <c r="F24" s="355"/>
      <c r="G24" s="200">
        <f>Inputs!F55</f>
        <v>247.41319999999996</v>
      </c>
      <c r="I24" s="61"/>
    </row>
    <row r="25" spans="1:9" x14ac:dyDescent="0.25">
      <c r="A25" s="44" t="s">
        <v>823</v>
      </c>
      <c r="B25" s="167">
        <f>h_pt((G27),G28)</f>
        <v>916.28934564722169</v>
      </c>
      <c r="C25" s="44" t="s">
        <v>800</v>
      </c>
      <c r="E25" s="355" t="s">
        <v>824</v>
      </c>
      <c r="F25" s="355"/>
      <c r="G25" s="208">
        <v>170.05529999999999</v>
      </c>
      <c r="H25" s="71"/>
      <c r="I25" s="61"/>
    </row>
    <row r="26" spans="1:9" x14ac:dyDescent="0.25">
      <c r="E26" s="355" t="s">
        <v>825</v>
      </c>
      <c r="F26" s="355"/>
      <c r="G26" s="200">
        <f>Inputs!F57</f>
        <v>344.60519999999997</v>
      </c>
      <c r="I26" s="61"/>
    </row>
    <row r="27" spans="1:9" x14ac:dyDescent="0.25">
      <c r="A27" s="44" t="s">
        <v>826</v>
      </c>
      <c r="B27" s="167">
        <f>(G7*(B23-B22))/(B24-B25)</f>
        <v>59.713678947247651</v>
      </c>
      <c r="C27" s="44" t="s">
        <v>270</v>
      </c>
      <c r="E27" s="355" t="s">
        <v>247</v>
      </c>
      <c r="F27" s="355"/>
      <c r="G27" s="208">
        <f>Inputs!F58</f>
        <v>38.40989720000001</v>
      </c>
      <c r="I27" s="61"/>
    </row>
    <row r="28" spans="1:9" x14ac:dyDescent="0.25">
      <c r="A28" s="44" t="s">
        <v>862</v>
      </c>
      <c r="B28" s="167">
        <f>G6-B27-11</f>
        <v>727.28112105275216</v>
      </c>
      <c r="C28" s="44" t="s">
        <v>270</v>
      </c>
      <c r="E28" s="355" t="s">
        <v>827</v>
      </c>
      <c r="F28" s="355"/>
      <c r="G28" s="200">
        <f>Inputs!F59</f>
        <v>213.93520000000007</v>
      </c>
      <c r="I28" s="61"/>
    </row>
    <row r="29" spans="1:9" x14ac:dyDescent="0.25">
      <c r="A29" s="209" t="s">
        <v>863</v>
      </c>
      <c r="B29" s="44">
        <f>h_pt(Inputs!C46,Inputs!C45)</f>
        <v>1072.9600508195538</v>
      </c>
      <c r="C29" s="44" t="s">
        <v>435</v>
      </c>
      <c r="E29" s="1"/>
    </row>
    <row r="30" spans="1:9" x14ac:dyDescent="0.25">
      <c r="A30" s="209" t="s">
        <v>864</v>
      </c>
      <c r="B30" s="44">
        <f>h_pt(Inputs!C55,Inputs!C54)</f>
        <v>1073.5121273205798</v>
      </c>
      <c r="C30" s="44" t="s">
        <v>435</v>
      </c>
      <c r="E30" s="1"/>
    </row>
    <row r="31" spans="1:9" x14ac:dyDescent="0.25">
      <c r="E31" s="1"/>
    </row>
    <row r="32" spans="1:9" x14ac:dyDescent="0.25">
      <c r="E32" s="1"/>
    </row>
  </sheetData>
  <mergeCells count="9">
    <mergeCell ref="E26:F26"/>
    <mergeCell ref="E27:F27"/>
    <mergeCell ref="E28:F28"/>
    <mergeCell ref="A2:G2"/>
    <mergeCell ref="E22:F22"/>
    <mergeCell ref="E23:F23"/>
    <mergeCell ref="E24:F24"/>
    <mergeCell ref="E25:F25"/>
    <mergeCell ref="A3:D3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CC23"/>
  <sheetViews>
    <sheetView tabSelected="1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T16" sqref="AT16"/>
    </sheetView>
  </sheetViews>
  <sheetFormatPr defaultColWidth="24.7109375" defaultRowHeight="15" x14ac:dyDescent="0.2"/>
  <cols>
    <col min="1" max="1" width="6.28515625" style="267" bestFit="1" customWidth="1"/>
    <col min="2" max="2" width="53" style="302" bestFit="1" customWidth="1"/>
    <col min="3" max="3" width="12.42578125" style="302" bestFit="1" customWidth="1"/>
    <col min="4" max="4" width="25" style="303" customWidth="1"/>
    <col min="5" max="6" width="25.28515625" style="267" hidden="1" customWidth="1"/>
    <col min="7" max="8" width="24.5703125" style="267" hidden="1" customWidth="1"/>
    <col min="9" max="41" width="24.7109375" style="267" hidden="1" customWidth="1"/>
    <col min="42" max="42" width="24.7109375" style="267" customWidth="1"/>
    <col min="43" max="44" width="24.7109375" style="267" hidden="1" customWidth="1"/>
    <col min="45" max="16384" width="24.7109375" style="267"/>
  </cols>
  <sheetData>
    <row r="1" spans="1:81" ht="18.75" customHeight="1" x14ac:dyDescent="0.25">
      <c r="A1" s="356" t="s">
        <v>877</v>
      </c>
      <c r="B1" s="357"/>
      <c r="C1" s="358"/>
      <c r="D1" s="365" t="s">
        <v>931</v>
      </c>
      <c r="E1" s="284" t="s">
        <v>881</v>
      </c>
      <c r="F1" s="284" t="s">
        <v>881</v>
      </c>
      <c r="G1" s="284" t="s">
        <v>884</v>
      </c>
      <c r="H1" s="293" t="s">
        <v>884</v>
      </c>
      <c r="I1" s="294" t="s">
        <v>881</v>
      </c>
      <c r="J1" s="294" t="s">
        <v>881</v>
      </c>
      <c r="K1" s="294" t="s">
        <v>884</v>
      </c>
      <c r="L1" s="294" t="s">
        <v>884</v>
      </c>
      <c r="M1" s="294" t="s">
        <v>884</v>
      </c>
      <c r="N1" s="294" t="s">
        <v>884</v>
      </c>
      <c r="O1" s="294" t="s">
        <v>881</v>
      </c>
      <c r="P1" s="294" t="s">
        <v>881</v>
      </c>
      <c r="Q1" s="294" t="s">
        <v>884</v>
      </c>
      <c r="R1" s="294" t="s">
        <v>884</v>
      </c>
      <c r="S1" s="294" t="s">
        <v>881</v>
      </c>
      <c r="T1" s="294" t="s">
        <v>881</v>
      </c>
      <c r="U1" s="294" t="s">
        <v>881</v>
      </c>
      <c r="V1" s="294" t="s">
        <v>881</v>
      </c>
      <c r="W1" s="294" t="s">
        <v>884</v>
      </c>
      <c r="X1" s="294" t="s">
        <v>884</v>
      </c>
      <c r="Y1" s="294" t="s">
        <v>881</v>
      </c>
      <c r="Z1" s="294" t="s">
        <v>881</v>
      </c>
      <c r="AA1" s="294" t="s">
        <v>881</v>
      </c>
      <c r="AB1" s="294" t="s">
        <v>884</v>
      </c>
      <c r="AC1" s="294" t="s">
        <v>884</v>
      </c>
      <c r="AD1" s="294" t="s">
        <v>884</v>
      </c>
      <c r="AE1" s="294" t="s">
        <v>881</v>
      </c>
      <c r="AF1" s="294" t="s">
        <v>881</v>
      </c>
      <c r="AG1" s="294" t="s">
        <v>884</v>
      </c>
      <c r="AH1" s="294" t="s">
        <v>884</v>
      </c>
      <c r="AI1" s="294" t="s">
        <v>881</v>
      </c>
      <c r="AJ1" s="294" t="s">
        <v>881</v>
      </c>
      <c r="AK1" s="294" t="s">
        <v>884</v>
      </c>
      <c r="AL1" s="294" t="s">
        <v>884</v>
      </c>
      <c r="AM1" s="294" t="s">
        <v>881</v>
      </c>
      <c r="AN1" s="294" t="s">
        <v>884</v>
      </c>
      <c r="AO1" s="294" t="s">
        <v>884</v>
      </c>
      <c r="AP1" s="294" t="s">
        <v>881</v>
      </c>
      <c r="AQ1" s="294" t="s">
        <v>884</v>
      </c>
      <c r="AR1" s="294" t="s">
        <v>884</v>
      </c>
      <c r="AS1" s="294"/>
      <c r="AT1" s="294"/>
      <c r="AU1" s="294"/>
      <c r="AV1" s="294"/>
      <c r="AW1" s="294"/>
      <c r="AX1" s="294"/>
      <c r="AY1" s="294"/>
      <c r="AZ1" s="294"/>
      <c r="BA1" s="294"/>
      <c r="BB1" s="294"/>
      <c r="BC1" s="294"/>
      <c r="BD1" s="294"/>
      <c r="BE1" s="294"/>
      <c r="BF1" s="294"/>
      <c r="BG1" s="294"/>
      <c r="BH1" s="294"/>
      <c r="BI1" s="294"/>
      <c r="BJ1" s="294"/>
      <c r="BK1" s="294"/>
      <c r="BL1" s="294"/>
      <c r="BM1" s="294"/>
      <c r="BN1" s="294"/>
      <c r="BO1" s="294"/>
      <c r="BP1" s="294"/>
      <c r="BQ1" s="294"/>
      <c r="BR1" s="294"/>
      <c r="BS1" s="294"/>
      <c r="BT1" s="294"/>
      <c r="BU1" s="294"/>
      <c r="BV1" s="294"/>
      <c r="BW1" s="294"/>
      <c r="BX1" s="294"/>
      <c r="BY1" s="294"/>
      <c r="BZ1" s="294"/>
      <c r="CA1" s="294"/>
      <c r="CB1" s="294"/>
      <c r="CC1" s="294"/>
    </row>
    <row r="2" spans="1:81" ht="18.75" customHeight="1" x14ac:dyDescent="0.25">
      <c r="A2" s="359" t="s">
        <v>875</v>
      </c>
      <c r="B2" s="360"/>
      <c r="C2" s="361"/>
      <c r="D2" s="366"/>
      <c r="E2" s="284" t="s">
        <v>1093</v>
      </c>
      <c r="F2" s="284" t="s">
        <v>926</v>
      </c>
      <c r="G2" s="284" t="s">
        <v>928</v>
      </c>
      <c r="H2" s="293" t="s">
        <v>924</v>
      </c>
      <c r="I2" s="294" t="s">
        <v>932</v>
      </c>
      <c r="J2" s="294" t="s">
        <v>934</v>
      </c>
      <c r="K2" s="294" t="s">
        <v>936</v>
      </c>
      <c r="L2" s="294" t="s">
        <v>938</v>
      </c>
      <c r="M2" s="294" t="s">
        <v>938</v>
      </c>
      <c r="N2" s="294" t="s">
        <v>940</v>
      </c>
      <c r="O2" s="294" t="s">
        <v>1022</v>
      </c>
      <c r="P2" s="294" t="s">
        <v>1024</v>
      </c>
      <c r="Q2" s="294" t="s">
        <v>1026</v>
      </c>
      <c r="R2" s="294" t="s">
        <v>1028</v>
      </c>
      <c r="S2" s="294" t="s">
        <v>1030</v>
      </c>
      <c r="T2" s="294" t="s">
        <v>1032</v>
      </c>
      <c r="U2" s="294" t="s">
        <v>1034</v>
      </c>
      <c r="V2" s="294" t="s">
        <v>1036</v>
      </c>
      <c r="W2" s="294" t="s">
        <v>1038</v>
      </c>
      <c r="X2" s="294" t="s">
        <v>1032</v>
      </c>
      <c r="Y2" s="294" t="s">
        <v>1036</v>
      </c>
      <c r="Z2" s="294" t="s">
        <v>1040</v>
      </c>
      <c r="AA2" s="294" t="s">
        <v>1042</v>
      </c>
      <c r="AB2" s="294" t="s">
        <v>1045</v>
      </c>
      <c r="AC2" s="294" t="s">
        <v>1047</v>
      </c>
      <c r="AD2" s="294" t="s">
        <v>1049</v>
      </c>
      <c r="AE2" s="294" t="s">
        <v>1052</v>
      </c>
      <c r="AF2" s="294" t="s">
        <v>1054</v>
      </c>
      <c r="AG2" s="294" t="s">
        <v>1057</v>
      </c>
      <c r="AH2" s="294" t="s">
        <v>1055</v>
      </c>
      <c r="AI2" s="294" t="s">
        <v>1060</v>
      </c>
      <c r="AJ2" s="294" t="s">
        <v>1062</v>
      </c>
      <c r="AK2" s="294" t="s">
        <v>1064</v>
      </c>
      <c r="AL2" s="294" t="s">
        <v>1062</v>
      </c>
      <c r="AM2" s="294" t="s">
        <v>1066</v>
      </c>
      <c r="AN2" s="294" t="s">
        <v>1073</v>
      </c>
      <c r="AO2" s="294" t="s">
        <v>1093</v>
      </c>
      <c r="AP2" s="294" t="s">
        <v>1172</v>
      </c>
      <c r="AQ2" s="294" t="s">
        <v>1317</v>
      </c>
      <c r="AR2" s="294" t="s">
        <v>1476</v>
      </c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4"/>
      <c r="BJ2" s="294"/>
      <c r="BK2" s="294"/>
      <c r="BL2" s="294"/>
      <c r="BM2" s="294"/>
      <c r="BN2" s="294"/>
      <c r="BO2" s="294"/>
      <c r="BP2" s="294"/>
      <c r="BQ2" s="294"/>
      <c r="BR2" s="294"/>
      <c r="BS2" s="294"/>
      <c r="BT2" s="294"/>
      <c r="BU2" s="294"/>
      <c r="BV2" s="294"/>
      <c r="BW2" s="294"/>
      <c r="BX2" s="294"/>
      <c r="BY2" s="294"/>
      <c r="BZ2" s="294"/>
      <c r="CA2" s="294"/>
      <c r="CB2" s="294"/>
      <c r="CC2" s="294"/>
    </row>
    <row r="3" spans="1:81" ht="18.75" customHeight="1" thickBot="1" x14ac:dyDescent="0.3">
      <c r="A3" s="362" t="s">
        <v>876</v>
      </c>
      <c r="B3" s="363"/>
      <c r="C3" s="364"/>
      <c r="D3" s="367"/>
      <c r="E3" s="284" t="s">
        <v>1094</v>
      </c>
      <c r="F3" s="284" t="s">
        <v>927</v>
      </c>
      <c r="G3" s="284" t="s">
        <v>929</v>
      </c>
      <c r="H3" s="293" t="s">
        <v>925</v>
      </c>
      <c r="I3" s="294" t="s">
        <v>933</v>
      </c>
      <c r="J3" s="294" t="s">
        <v>935</v>
      </c>
      <c r="K3" s="294" t="s">
        <v>937</v>
      </c>
      <c r="L3" s="294" t="s">
        <v>939</v>
      </c>
      <c r="M3" s="294" t="s">
        <v>939</v>
      </c>
      <c r="N3" s="294" t="s">
        <v>942</v>
      </c>
      <c r="O3" s="294" t="s">
        <v>1023</v>
      </c>
      <c r="P3" s="294" t="s">
        <v>1025</v>
      </c>
      <c r="Q3" s="294" t="s">
        <v>1027</v>
      </c>
      <c r="R3" s="294" t="s">
        <v>1029</v>
      </c>
      <c r="S3" s="294" t="s">
        <v>1031</v>
      </c>
      <c r="T3" s="294" t="s">
        <v>1033</v>
      </c>
      <c r="U3" s="294" t="s">
        <v>1035</v>
      </c>
      <c r="V3" s="294" t="s">
        <v>1037</v>
      </c>
      <c r="W3" s="294" t="s">
        <v>1031</v>
      </c>
      <c r="X3" s="294" t="s">
        <v>1033</v>
      </c>
      <c r="Y3" s="294" t="s">
        <v>1039</v>
      </c>
      <c r="Z3" s="294" t="s">
        <v>1041</v>
      </c>
      <c r="AA3" s="294" t="s">
        <v>1043</v>
      </c>
      <c r="AB3" s="294" t="s">
        <v>1046</v>
      </c>
      <c r="AC3" s="294" t="s">
        <v>1048</v>
      </c>
      <c r="AD3" s="294" t="s">
        <v>1050</v>
      </c>
      <c r="AE3" s="294" t="s">
        <v>1053</v>
      </c>
      <c r="AF3" s="294" t="s">
        <v>1056</v>
      </c>
      <c r="AG3" s="294" t="s">
        <v>1058</v>
      </c>
      <c r="AH3" s="294" t="s">
        <v>1059</v>
      </c>
      <c r="AI3" s="294" t="s">
        <v>1061</v>
      </c>
      <c r="AJ3" s="294" t="s">
        <v>1063</v>
      </c>
      <c r="AK3" s="294" t="s">
        <v>1065</v>
      </c>
      <c r="AL3" s="294" t="s">
        <v>1063</v>
      </c>
      <c r="AM3" s="294" t="s">
        <v>1067</v>
      </c>
      <c r="AN3" s="294" t="s">
        <v>1074</v>
      </c>
      <c r="AO3" s="294" t="s">
        <v>1094</v>
      </c>
      <c r="AP3" s="294" t="s">
        <v>1174</v>
      </c>
      <c r="AQ3" s="294" t="s">
        <v>1321</v>
      </c>
      <c r="AR3" s="294" t="s">
        <v>1503</v>
      </c>
      <c r="AS3" s="294"/>
      <c r="AT3" s="294"/>
      <c r="AU3" s="294"/>
      <c r="AV3" s="294"/>
      <c r="AW3" s="294"/>
      <c r="AX3" s="294"/>
      <c r="AY3" s="294"/>
      <c r="AZ3" s="294"/>
      <c r="BA3" s="294"/>
      <c r="BB3" s="294"/>
      <c r="BC3" s="294"/>
      <c r="BD3" s="294"/>
      <c r="BE3" s="294"/>
      <c r="BF3" s="294"/>
      <c r="BG3" s="294"/>
      <c r="BH3" s="294"/>
      <c r="BI3" s="294"/>
      <c r="BJ3" s="294"/>
      <c r="BK3" s="294"/>
      <c r="BL3" s="294"/>
      <c r="BM3" s="294"/>
      <c r="BN3" s="294"/>
      <c r="BO3" s="294"/>
      <c r="BP3" s="294"/>
      <c r="BQ3" s="294"/>
      <c r="BR3" s="294"/>
      <c r="BS3" s="294"/>
      <c r="BT3" s="294"/>
      <c r="BU3" s="294"/>
      <c r="BV3" s="294"/>
      <c r="BW3" s="294"/>
      <c r="BX3" s="294"/>
      <c r="BY3" s="294"/>
      <c r="BZ3" s="294"/>
      <c r="CA3" s="294"/>
      <c r="CB3" s="294"/>
      <c r="CC3" s="294"/>
    </row>
    <row r="4" spans="1:81" ht="18.75" customHeight="1" thickBot="1" x14ac:dyDescent="0.3">
      <c r="A4" s="253" t="s">
        <v>878</v>
      </c>
      <c r="B4" s="254" t="s">
        <v>790</v>
      </c>
      <c r="C4" s="269" t="s">
        <v>0</v>
      </c>
      <c r="D4" s="268" t="s">
        <v>930</v>
      </c>
      <c r="E4" s="304" t="s">
        <v>254</v>
      </c>
      <c r="F4" s="256" t="s">
        <v>254</v>
      </c>
      <c r="G4" s="256" t="s">
        <v>254</v>
      </c>
      <c r="H4" s="255" t="s">
        <v>254</v>
      </c>
      <c r="I4" s="256" t="s">
        <v>254</v>
      </c>
      <c r="J4" s="256" t="s">
        <v>254</v>
      </c>
      <c r="K4" s="256" t="s">
        <v>254</v>
      </c>
      <c r="L4" s="256" t="s">
        <v>254</v>
      </c>
      <c r="M4" s="256" t="s">
        <v>254</v>
      </c>
      <c r="N4" s="256" t="s">
        <v>254</v>
      </c>
      <c r="O4" s="256" t="s">
        <v>254</v>
      </c>
      <c r="P4" s="256" t="s">
        <v>254</v>
      </c>
      <c r="Q4" s="256" t="s">
        <v>254</v>
      </c>
      <c r="R4" s="256" t="s">
        <v>254</v>
      </c>
      <c r="S4" s="256" t="s">
        <v>254</v>
      </c>
      <c r="T4" s="256" t="s">
        <v>254</v>
      </c>
      <c r="U4" s="256" t="s">
        <v>254</v>
      </c>
      <c r="V4" s="256" t="s">
        <v>254</v>
      </c>
      <c r="W4" s="256" t="s">
        <v>254</v>
      </c>
      <c r="X4" s="256" t="s">
        <v>254</v>
      </c>
      <c r="Y4" s="256" t="s">
        <v>254</v>
      </c>
      <c r="Z4" s="256" t="s">
        <v>254</v>
      </c>
      <c r="AA4" s="256" t="s">
        <v>254</v>
      </c>
      <c r="AB4" s="256" t="s">
        <v>254</v>
      </c>
      <c r="AC4" s="256" t="s">
        <v>254</v>
      </c>
      <c r="AD4" s="256" t="s">
        <v>254</v>
      </c>
      <c r="AE4" s="256" t="s">
        <v>254</v>
      </c>
      <c r="AF4" s="256" t="s">
        <v>254</v>
      </c>
      <c r="AG4" s="256" t="s">
        <v>254</v>
      </c>
      <c r="AH4" s="256" t="s">
        <v>254</v>
      </c>
      <c r="AI4" s="256" t="s">
        <v>254</v>
      </c>
      <c r="AJ4" s="256" t="s">
        <v>254</v>
      </c>
      <c r="AK4" s="256" t="s">
        <v>254</v>
      </c>
      <c r="AL4" s="256" t="s">
        <v>254</v>
      </c>
      <c r="AM4" s="256" t="s">
        <v>254</v>
      </c>
      <c r="AN4" s="256" t="s">
        <v>254</v>
      </c>
      <c r="AO4" s="256" t="s">
        <v>254</v>
      </c>
      <c r="AP4" s="256" t="s">
        <v>254</v>
      </c>
      <c r="AQ4" s="256" t="s">
        <v>254</v>
      </c>
      <c r="AR4" s="256" t="s">
        <v>254</v>
      </c>
      <c r="AS4" s="256"/>
      <c r="AT4" s="256"/>
      <c r="AU4" s="256"/>
      <c r="AV4" s="256"/>
      <c r="AW4" s="256"/>
      <c r="AX4" s="256"/>
      <c r="AY4" s="256"/>
      <c r="AZ4" s="256"/>
      <c r="BA4" s="256"/>
      <c r="BB4" s="256"/>
      <c r="BC4" s="256"/>
      <c r="BD4" s="256"/>
      <c r="BE4" s="256"/>
      <c r="BF4" s="256"/>
      <c r="BG4" s="256"/>
      <c r="BH4" s="256"/>
      <c r="BI4" s="256"/>
      <c r="BJ4" s="256"/>
      <c r="BK4" s="256"/>
      <c r="BL4" s="256"/>
      <c r="BM4" s="256"/>
      <c r="BN4" s="256"/>
      <c r="BO4" s="256"/>
      <c r="BP4" s="256"/>
      <c r="BQ4" s="256"/>
      <c r="BR4" s="256"/>
      <c r="BS4" s="256"/>
      <c r="BT4" s="256"/>
      <c r="BU4" s="256"/>
      <c r="BV4" s="256"/>
      <c r="BW4" s="256"/>
      <c r="BX4" s="256"/>
      <c r="BY4" s="256"/>
      <c r="BZ4" s="256"/>
      <c r="CA4" s="256"/>
      <c r="CB4" s="256"/>
      <c r="CC4" s="256"/>
    </row>
    <row r="5" spans="1:81" ht="18.75" customHeight="1" x14ac:dyDescent="0.2">
      <c r="A5" s="277">
        <v>1</v>
      </c>
      <c r="B5" s="278" t="s">
        <v>248</v>
      </c>
      <c r="C5" s="279" t="s">
        <v>277</v>
      </c>
      <c r="D5" s="274">
        <v>270</v>
      </c>
      <c r="E5" s="285">
        <v>270.60538461538459</v>
      </c>
      <c r="F5" s="259">
        <v>271.20249999999993</v>
      </c>
      <c r="G5" s="259">
        <v>242.94374999999994</v>
      </c>
      <c r="H5" s="295">
        <v>272.42541666666665</v>
      </c>
      <c r="I5" s="308">
        <v>273.01799999999997</v>
      </c>
      <c r="J5" s="308">
        <v>270.59400000000005</v>
      </c>
      <c r="K5" s="294">
        <v>270.70400000000001</v>
      </c>
      <c r="L5" s="294">
        <v>268.98279999999994</v>
      </c>
      <c r="M5" s="308">
        <v>268.98279999999994</v>
      </c>
      <c r="N5" s="313">
        <v>159.74734693877554</v>
      </c>
      <c r="O5" s="317">
        <v>270.53999999999996</v>
      </c>
      <c r="P5" s="317">
        <v>271.74375000000003</v>
      </c>
      <c r="Q5" s="317">
        <v>270.25208333333336</v>
      </c>
      <c r="R5" s="317">
        <v>270.86958333333331</v>
      </c>
      <c r="S5" s="313">
        <v>161.51452054794518</v>
      </c>
      <c r="T5" s="313">
        <v>161.55356164383568</v>
      </c>
      <c r="U5" s="313">
        <v>162.41551020408164</v>
      </c>
      <c r="V5" s="313">
        <v>160.32135135135132</v>
      </c>
      <c r="W5" s="313">
        <v>161.29458823529416</v>
      </c>
      <c r="X5" s="317">
        <v>159.62835616438366</v>
      </c>
      <c r="Y5" s="313">
        <v>160.48840000000001</v>
      </c>
      <c r="Z5" s="313">
        <v>271.1583333333333</v>
      </c>
      <c r="AA5" s="313">
        <v>270.22958333333332</v>
      </c>
      <c r="AB5" s="313">
        <v>160.45458333333335</v>
      </c>
      <c r="AC5" s="313">
        <v>209.22416666666666</v>
      </c>
      <c r="AD5" s="313">
        <v>270.61280000000005</v>
      </c>
      <c r="AE5" s="313">
        <v>271.5916666666667</v>
      </c>
      <c r="AF5" s="313">
        <v>269.81680000000006</v>
      </c>
      <c r="AG5" s="313">
        <v>270.4316</v>
      </c>
      <c r="AH5" s="313">
        <v>268.53439999999995</v>
      </c>
      <c r="AI5" s="313">
        <v>269.95160000000004</v>
      </c>
      <c r="AJ5" s="313">
        <v>270.642</v>
      </c>
      <c r="AK5" s="313">
        <v>271.79680000000002</v>
      </c>
      <c r="AL5" s="313">
        <v>270.87760000000003</v>
      </c>
      <c r="AM5" s="308">
        <v>270.54520000000002</v>
      </c>
      <c r="AN5" s="313">
        <v>271.89879999999999</v>
      </c>
      <c r="AO5" s="313">
        <v>270.60538461538459</v>
      </c>
      <c r="AP5" s="313">
        <v>245.75125000000003</v>
      </c>
      <c r="AQ5" s="313">
        <v>269.3372</v>
      </c>
      <c r="AR5" s="313">
        <v>270.72959999999995</v>
      </c>
      <c r="AS5" s="294"/>
      <c r="AT5" s="294"/>
      <c r="AU5" s="294"/>
      <c r="AV5" s="294"/>
      <c r="AW5" s="294"/>
      <c r="AX5" s="294"/>
      <c r="AY5" s="294"/>
      <c r="AZ5" s="294"/>
      <c r="BA5" s="294"/>
      <c r="BB5" s="294"/>
      <c r="BC5" s="294"/>
      <c r="BD5" s="294"/>
      <c r="BE5" s="294"/>
      <c r="BF5" s="294"/>
      <c r="BG5" s="294"/>
      <c r="BH5" s="294"/>
      <c r="BI5" s="294"/>
      <c r="BJ5" s="294"/>
      <c r="BK5" s="294"/>
      <c r="BL5" s="294"/>
      <c r="BM5" s="294"/>
      <c r="BN5" s="294"/>
      <c r="BO5" s="294"/>
      <c r="BP5" s="294"/>
      <c r="BQ5" s="294"/>
      <c r="BR5" s="294"/>
      <c r="BS5" s="294"/>
      <c r="BT5" s="294"/>
      <c r="BU5" s="294"/>
      <c r="BV5" s="294"/>
      <c r="BW5" s="294"/>
      <c r="BX5" s="294"/>
      <c r="BY5" s="294"/>
      <c r="BZ5" s="294"/>
      <c r="CA5" s="294"/>
      <c r="CB5" s="294"/>
      <c r="CC5" s="294"/>
    </row>
    <row r="6" spans="1:81" ht="18.75" customHeight="1" x14ac:dyDescent="0.2">
      <c r="A6" s="257">
        <v>2</v>
      </c>
      <c r="B6" s="258" t="s">
        <v>793</v>
      </c>
      <c r="C6" s="270" t="s">
        <v>270</v>
      </c>
      <c r="D6" s="275">
        <v>796.5</v>
      </c>
      <c r="E6" s="285">
        <v>793.22769230769256</v>
      </c>
      <c r="F6" s="259">
        <v>805.08708333333345</v>
      </c>
      <c r="G6" s="259">
        <v>718.43166666666673</v>
      </c>
      <c r="H6" s="295">
        <v>796.05083333333357</v>
      </c>
      <c r="I6" s="308">
        <v>816.88080000000002</v>
      </c>
      <c r="J6" s="308">
        <v>803.93959999999993</v>
      </c>
      <c r="K6" s="294">
        <v>799.80919999999981</v>
      </c>
      <c r="L6" s="294">
        <v>797.37599999999986</v>
      </c>
      <c r="M6" s="308">
        <v>797.37599999999986</v>
      </c>
      <c r="N6" s="313">
        <v>480.19714285714286</v>
      </c>
      <c r="O6" s="317">
        <v>807.44624999999996</v>
      </c>
      <c r="P6" s="317">
        <v>810.33125000000018</v>
      </c>
      <c r="Q6" s="317">
        <v>797.67791666666653</v>
      </c>
      <c r="R6" s="317">
        <v>806.61291666666659</v>
      </c>
      <c r="S6" s="313">
        <v>487.38684931506867</v>
      </c>
      <c r="T6" s="313">
        <v>485.70671232876697</v>
      </c>
      <c r="U6" s="313">
        <v>493.59795918367325</v>
      </c>
      <c r="V6" s="313">
        <v>485.89702702702698</v>
      </c>
      <c r="W6" s="313">
        <v>483.01929411764706</v>
      </c>
      <c r="X6" s="317">
        <v>479.11205479452053</v>
      </c>
      <c r="Y6" s="313">
        <v>486.00959999999992</v>
      </c>
      <c r="Z6" s="313">
        <v>803.21541666666678</v>
      </c>
      <c r="AA6" s="313">
        <v>807.78041666666661</v>
      </c>
      <c r="AB6" s="313">
        <v>481.89083333333338</v>
      </c>
      <c r="AC6" s="313">
        <v>618.49666666666678</v>
      </c>
      <c r="AD6" s="313">
        <v>800.21720000000005</v>
      </c>
      <c r="AE6" s="313">
        <v>812.21833333333325</v>
      </c>
      <c r="AF6" s="313">
        <v>799.72920000000011</v>
      </c>
      <c r="AG6" s="313">
        <v>799.34159999999986</v>
      </c>
      <c r="AH6" s="313">
        <v>790.10360000000014</v>
      </c>
      <c r="AI6" s="313">
        <v>789.92600000000004</v>
      </c>
      <c r="AJ6" s="313">
        <v>807.15680000000009</v>
      </c>
      <c r="AK6" s="313">
        <v>792.93600000000015</v>
      </c>
      <c r="AL6" s="313">
        <v>795.07640000000004</v>
      </c>
      <c r="AM6" s="308">
        <v>785.8968000000001</v>
      </c>
      <c r="AN6" s="313">
        <v>785.53559999999993</v>
      </c>
      <c r="AO6" s="313">
        <v>793.22769230769256</v>
      </c>
      <c r="AP6" s="313">
        <v>725.45749999999998</v>
      </c>
      <c r="AQ6" s="313">
        <v>791.54199999999992</v>
      </c>
      <c r="AR6" s="313">
        <v>797.99479999999983</v>
      </c>
      <c r="AS6" s="294"/>
      <c r="AT6" s="294"/>
      <c r="AU6" s="294"/>
      <c r="AV6" s="294"/>
      <c r="AW6" s="294"/>
      <c r="AX6" s="294"/>
      <c r="AY6" s="294"/>
      <c r="AZ6" s="294"/>
      <c r="BA6" s="294"/>
      <c r="BB6" s="294"/>
      <c r="BC6" s="294"/>
      <c r="BD6" s="294"/>
      <c r="BE6" s="294"/>
      <c r="BF6" s="294"/>
      <c r="BG6" s="294"/>
      <c r="BH6" s="294"/>
      <c r="BI6" s="294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4"/>
      <c r="BW6" s="294"/>
      <c r="BX6" s="294"/>
      <c r="BY6" s="294"/>
      <c r="BZ6" s="294"/>
      <c r="CA6" s="294"/>
      <c r="CB6" s="294"/>
      <c r="CC6" s="294"/>
    </row>
    <row r="7" spans="1:81" ht="18.75" customHeight="1" x14ac:dyDescent="0.2">
      <c r="A7" s="257">
        <v>3</v>
      </c>
      <c r="B7" s="258" t="s">
        <v>795</v>
      </c>
      <c r="C7" s="270" t="s">
        <v>270</v>
      </c>
      <c r="D7" s="275">
        <v>762.4</v>
      </c>
      <c r="E7" s="285">
        <v>710.67769230769238</v>
      </c>
      <c r="F7" s="259">
        <v>761.67083333333335</v>
      </c>
      <c r="G7" s="259">
        <v>674.75104166666688</v>
      </c>
      <c r="H7" s="295">
        <v>738.62791666666681</v>
      </c>
      <c r="I7" s="308">
        <v>755.42920000000015</v>
      </c>
      <c r="J7" s="308">
        <v>721.24480000000005</v>
      </c>
      <c r="K7" s="294">
        <v>752.76359999999988</v>
      </c>
      <c r="L7" s="308">
        <v>774.66880000000015</v>
      </c>
      <c r="M7" s="308">
        <v>774.66880000000015</v>
      </c>
      <c r="N7" s="313">
        <v>433.74591836734692</v>
      </c>
      <c r="O7" s="317">
        <v>721.35374999999988</v>
      </c>
      <c r="P7" s="317">
        <v>717.59875000000011</v>
      </c>
      <c r="Q7" s="317">
        <v>723.16208333333327</v>
      </c>
      <c r="R7" s="317">
        <v>733.98208333333321</v>
      </c>
      <c r="S7" s="313">
        <v>437.23383561643845</v>
      </c>
      <c r="T7" s="313">
        <v>419.17945205479475</v>
      </c>
      <c r="U7" s="313">
        <v>458.79632653061213</v>
      </c>
      <c r="V7" s="313">
        <v>428.89297297297298</v>
      </c>
      <c r="W7" s="313">
        <v>441.73423529411775</v>
      </c>
      <c r="X7" s="317">
        <v>419.68506849315082</v>
      </c>
      <c r="Y7" s="313">
        <v>427.38080000000002</v>
      </c>
      <c r="Z7" s="313">
        <v>699.30708333333348</v>
      </c>
      <c r="AA7" s="313">
        <v>734.84458333333328</v>
      </c>
      <c r="AB7" s="313">
        <v>439.70333333333338</v>
      </c>
      <c r="AC7" s="313">
        <v>556.58916666666676</v>
      </c>
      <c r="AD7" s="313">
        <v>738.32399999999973</v>
      </c>
      <c r="AE7" s="313">
        <v>747.46375</v>
      </c>
      <c r="AF7" s="313">
        <v>718.11519999999996</v>
      </c>
      <c r="AG7" s="313">
        <v>729.55279999999993</v>
      </c>
      <c r="AH7" s="313">
        <v>712.91959999999995</v>
      </c>
      <c r="AI7" s="313">
        <v>709.50040000000001</v>
      </c>
      <c r="AJ7" s="313">
        <v>733.26880000000017</v>
      </c>
      <c r="AK7" s="313">
        <v>693.84159999999997</v>
      </c>
      <c r="AL7" s="313">
        <v>705.11040000000003</v>
      </c>
      <c r="AM7" s="308">
        <v>690.62960000000021</v>
      </c>
      <c r="AN7" s="313">
        <v>707.00920000000008</v>
      </c>
      <c r="AO7" s="313">
        <v>710.67769230769238</v>
      </c>
      <c r="AP7" s="313">
        <v>645.06791666666675</v>
      </c>
      <c r="AQ7" s="313">
        <v>747.18200000000002</v>
      </c>
      <c r="AR7" s="313">
        <v>705.48599999999988</v>
      </c>
      <c r="AS7" s="294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4"/>
      <c r="BE7" s="294"/>
      <c r="BF7" s="294"/>
      <c r="BG7" s="294"/>
      <c r="BH7" s="294"/>
      <c r="BI7" s="294"/>
      <c r="BJ7" s="294"/>
      <c r="BK7" s="294"/>
      <c r="BL7" s="294"/>
      <c r="BM7" s="294"/>
      <c r="BN7" s="294"/>
      <c r="BO7" s="294"/>
      <c r="BP7" s="294"/>
      <c r="BQ7" s="294"/>
      <c r="BR7" s="294"/>
      <c r="BS7" s="294"/>
      <c r="BT7" s="294"/>
      <c r="BU7" s="294"/>
      <c r="BV7" s="294"/>
      <c r="BW7" s="294"/>
      <c r="BX7" s="294"/>
      <c r="BY7" s="294"/>
      <c r="BZ7" s="294"/>
      <c r="CA7" s="294"/>
      <c r="CB7" s="294"/>
      <c r="CC7" s="294"/>
    </row>
    <row r="8" spans="1:81" ht="18.75" customHeight="1" x14ac:dyDescent="0.2">
      <c r="A8" s="257">
        <v>4</v>
      </c>
      <c r="B8" s="258" t="s">
        <v>797</v>
      </c>
      <c r="C8" s="270" t="s">
        <v>270</v>
      </c>
      <c r="D8" s="275">
        <v>133.30000000000001</v>
      </c>
      <c r="E8" s="285">
        <v>168.2676923076923</v>
      </c>
      <c r="F8" s="259">
        <v>173.72500000000002</v>
      </c>
      <c r="G8" s="259">
        <v>169.74875</v>
      </c>
      <c r="H8" s="295">
        <v>187.10041666666663</v>
      </c>
      <c r="I8" s="308">
        <v>177.65119999999999</v>
      </c>
      <c r="J8" s="308">
        <v>175.4716</v>
      </c>
      <c r="K8" s="294">
        <v>184.83319999999995</v>
      </c>
      <c r="L8" s="308">
        <v>180.35440000000003</v>
      </c>
      <c r="M8" s="308">
        <v>180.35440000000003</v>
      </c>
      <c r="N8" s="313">
        <v>113.33102040816327</v>
      </c>
      <c r="O8" s="317">
        <v>187.83791666666664</v>
      </c>
      <c r="P8" s="317">
        <v>196.5383333333333</v>
      </c>
      <c r="Q8" s="317">
        <v>196.49458333333328</v>
      </c>
      <c r="R8" s="317">
        <v>196.04625000000001</v>
      </c>
      <c r="S8" s="313">
        <v>116.16863013698632</v>
      </c>
      <c r="T8" s="313">
        <v>114.41191780821917</v>
      </c>
      <c r="U8" s="313">
        <v>113.33224489795921</v>
      </c>
      <c r="V8" s="313">
        <v>111.52918918918917</v>
      </c>
      <c r="W8" s="313">
        <v>118.74635294117641</v>
      </c>
      <c r="X8" s="317">
        <v>124.49410958904107</v>
      </c>
      <c r="Y8" s="313">
        <v>112.01199999999999</v>
      </c>
      <c r="Z8" s="313">
        <v>200.89625000000001</v>
      </c>
      <c r="AA8" s="313">
        <v>168.29208333333335</v>
      </c>
      <c r="AB8" s="313">
        <v>121.04458333333332</v>
      </c>
      <c r="AC8" s="313">
        <v>168.02166666666668</v>
      </c>
      <c r="AD8" s="313">
        <v>188.20919999999995</v>
      </c>
      <c r="AE8" s="313">
        <v>172.64124999999999</v>
      </c>
      <c r="AF8" s="313">
        <v>200.50479999999996</v>
      </c>
      <c r="AG8" s="313">
        <v>186.81040000000002</v>
      </c>
      <c r="AH8" s="313">
        <v>198.19960000000003</v>
      </c>
      <c r="AI8" s="313">
        <v>181.81200000000001</v>
      </c>
      <c r="AJ8" s="313">
        <v>185.42360000000005</v>
      </c>
      <c r="AK8" s="313">
        <v>195.15040000000002</v>
      </c>
      <c r="AL8" s="313">
        <v>178.77840000000003</v>
      </c>
      <c r="AM8" s="308">
        <v>204.23159999999993</v>
      </c>
      <c r="AN8" s="313">
        <v>190.51039999999998</v>
      </c>
      <c r="AO8" s="313">
        <v>168.2676923076923</v>
      </c>
      <c r="AP8" s="313">
        <v>181.50541666666672</v>
      </c>
      <c r="AQ8" s="313">
        <v>197.89439999999996</v>
      </c>
      <c r="AR8" s="313">
        <v>201.29679999999996</v>
      </c>
      <c r="AS8" s="294"/>
      <c r="AT8" s="294"/>
      <c r="AU8" s="294"/>
      <c r="AV8" s="294"/>
      <c r="AW8" s="294"/>
      <c r="AX8" s="294"/>
      <c r="AY8" s="294"/>
      <c r="AZ8" s="294"/>
      <c r="BA8" s="294"/>
      <c r="BB8" s="294"/>
      <c r="BC8" s="294"/>
      <c r="BD8" s="294"/>
      <c r="BE8" s="294"/>
      <c r="BF8" s="294"/>
      <c r="BG8" s="294"/>
      <c r="BH8" s="294"/>
      <c r="BI8" s="294"/>
      <c r="BJ8" s="294"/>
      <c r="BK8" s="294"/>
      <c r="BL8" s="294"/>
      <c r="BM8" s="294"/>
      <c r="BN8" s="294"/>
      <c r="BO8" s="294"/>
      <c r="BP8" s="294"/>
      <c r="BQ8" s="294"/>
      <c r="BR8" s="294"/>
      <c r="BS8" s="294"/>
      <c r="BT8" s="294"/>
      <c r="BU8" s="294"/>
      <c r="BV8" s="294"/>
      <c r="BW8" s="294"/>
      <c r="BX8" s="294"/>
      <c r="BY8" s="294"/>
      <c r="BZ8" s="294"/>
      <c r="CA8" s="294"/>
      <c r="CB8" s="294"/>
      <c r="CC8" s="294"/>
    </row>
    <row r="9" spans="1:81" ht="18.75" customHeight="1" x14ac:dyDescent="0.2">
      <c r="A9" s="257">
        <v>5</v>
      </c>
      <c r="B9" s="258" t="s">
        <v>798</v>
      </c>
      <c r="C9" s="270" t="s">
        <v>270</v>
      </c>
      <c r="D9" s="275">
        <v>34.1</v>
      </c>
      <c r="E9" s="285">
        <v>77.907692307692315</v>
      </c>
      <c r="F9" s="259">
        <v>55.034166666666664</v>
      </c>
      <c r="G9" s="259">
        <v>49.619791666666657</v>
      </c>
      <c r="H9" s="295">
        <v>65.018750000000011</v>
      </c>
      <c r="I9" s="308">
        <v>58.400400000000005</v>
      </c>
      <c r="J9" s="308">
        <v>77.584399999999988</v>
      </c>
      <c r="K9" s="294">
        <v>56.471200000000003</v>
      </c>
      <c r="L9" s="308">
        <v>30.898800000000001</v>
      </c>
      <c r="M9" s="308">
        <v>30.898800000000001</v>
      </c>
      <c r="N9" s="313">
        <v>48.260204081632658</v>
      </c>
      <c r="O9" s="317">
        <v>79.069999999999993</v>
      </c>
      <c r="P9" s="317">
        <v>85.479583333333352</v>
      </c>
      <c r="Q9" s="317">
        <v>79.221666666666664</v>
      </c>
      <c r="R9" s="317">
        <v>75.62</v>
      </c>
      <c r="S9" s="313">
        <v>46.392739726027393</v>
      </c>
      <c r="T9" s="313">
        <v>57.210821917808232</v>
      </c>
      <c r="U9" s="313">
        <v>31.886530612244901</v>
      </c>
      <c r="V9" s="313">
        <v>48.003783783783781</v>
      </c>
      <c r="W9" s="313">
        <v>48.785529411764713</v>
      </c>
      <c r="X9" s="317">
        <v>60.353287671232856</v>
      </c>
      <c r="Y9" s="313">
        <v>49.597200000000001</v>
      </c>
      <c r="Z9" s="313">
        <v>102.52458333333331</v>
      </c>
      <c r="AA9" s="313">
        <v>69.447916666666657</v>
      </c>
      <c r="AB9" s="313">
        <v>45.949583333333337</v>
      </c>
      <c r="AC9" s="313">
        <v>64.900833333333338</v>
      </c>
      <c r="AD9" s="313">
        <v>68.012799999999999</v>
      </c>
      <c r="AE9" s="313">
        <v>58.800416666666663</v>
      </c>
      <c r="AF9" s="313">
        <v>77.317599999999999</v>
      </c>
      <c r="AG9" s="313">
        <v>74.673199999999994</v>
      </c>
      <c r="AH9" s="313">
        <v>89.9876</v>
      </c>
      <c r="AI9" s="313">
        <v>87.319199999999995</v>
      </c>
      <c r="AJ9" s="313">
        <v>70.981999999999999</v>
      </c>
      <c r="AK9" s="313">
        <v>102.47319999999999</v>
      </c>
      <c r="AL9" s="313">
        <v>95.386399999999981</v>
      </c>
      <c r="AM9" s="308">
        <v>95.131999999999991</v>
      </c>
      <c r="AN9" s="313">
        <v>86.624000000000009</v>
      </c>
      <c r="AO9" s="313">
        <v>77.907692307692315</v>
      </c>
      <c r="AP9" s="313">
        <v>81.940416666666664</v>
      </c>
      <c r="AQ9" s="313">
        <v>104.83359999999998</v>
      </c>
      <c r="AR9" s="313">
        <v>99.871200000000002</v>
      </c>
      <c r="AS9" s="294"/>
      <c r="AT9" s="294"/>
      <c r="AU9" s="294"/>
      <c r="AV9" s="294"/>
      <c r="AW9" s="294"/>
      <c r="AX9" s="294"/>
      <c r="AY9" s="294"/>
      <c r="AZ9" s="294"/>
      <c r="BA9" s="294"/>
      <c r="BB9" s="294"/>
      <c r="BC9" s="294"/>
      <c r="BD9" s="294"/>
      <c r="BE9" s="294"/>
      <c r="BF9" s="294"/>
      <c r="BG9" s="294"/>
      <c r="BH9" s="294"/>
      <c r="BI9" s="294"/>
      <c r="BJ9" s="294"/>
      <c r="BK9" s="294"/>
      <c r="BL9" s="294"/>
      <c r="BM9" s="294"/>
      <c r="BN9" s="294"/>
      <c r="BO9" s="294"/>
      <c r="BP9" s="294"/>
      <c r="BQ9" s="294"/>
      <c r="BR9" s="294"/>
      <c r="BS9" s="294"/>
      <c r="BT9" s="294"/>
      <c r="BU9" s="294"/>
      <c r="BV9" s="294"/>
      <c r="BW9" s="294"/>
      <c r="BX9" s="294"/>
      <c r="BY9" s="294"/>
      <c r="BZ9" s="294"/>
      <c r="CA9" s="294"/>
      <c r="CB9" s="294"/>
      <c r="CC9" s="294"/>
    </row>
    <row r="10" spans="1:81" ht="18.75" customHeight="1" x14ac:dyDescent="0.2">
      <c r="A10" s="257">
        <v>6</v>
      </c>
      <c r="B10" s="258" t="s">
        <v>799</v>
      </c>
      <c r="C10" s="270" t="s">
        <v>270</v>
      </c>
      <c r="D10" s="275">
        <v>0</v>
      </c>
      <c r="E10" s="285">
        <v>15.254615384615384</v>
      </c>
      <c r="F10" s="259">
        <v>8.3800000000000026</v>
      </c>
      <c r="G10" s="259">
        <v>10.188750000000002</v>
      </c>
      <c r="H10" s="295">
        <v>11.373749999999999</v>
      </c>
      <c r="I10" s="308">
        <v>9.094000000000003</v>
      </c>
      <c r="J10" s="308">
        <v>17.742000000000004</v>
      </c>
      <c r="K10" s="294">
        <v>16.689599999999999</v>
      </c>
      <c r="L10" s="308">
        <v>4.1940000000000017</v>
      </c>
      <c r="M10" s="308">
        <v>4.1940000000000017</v>
      </c>
      <c r="N10" s="313">
        <v>2.4351020408163269</v>
      </c>
      <c r="O10" s="317">
        <v>17.247083333333322</v>
      </c>
      <c r="P10" s="317">
        <v>19.48500000000001</v>
      </c>
      <c r="Q10" s="317">
        <v>19.534166666666668</v>
      </c>
      <c r="R10" s="317">
        <v>20.353333333333339</v>
      </c>
      <c r="S10" s="313">
        <v>4.171917808219181</v>
      </c>
      <c r="T10" s="313">
        <v>6.6041095890410908</v>
      </c>
      <c r="U10" s="313">
        <v>1.6030612244897942</v>
      </c>
      <c r="V10" s="313">
        <v>2.2575675675675657</v>
      </c>
      <c r="W10" s="313">
        <v>6.3085882352941125</v>
      </c>
      <c r="X10" s="317">
        <v>10.086986301369866</v>
      </c>
      <c r="Y10" s="313">
        <v>2.6932</v>
      </c>
      <c r="Z10" s="313">
        <v>25.304999999999993</v>
      </c>
      <c r="AA10" s="313">
        <v>20.61791666666667</v>
      </c>
      <c r="AB10" s="313">
        <v>3.9000000000000008</v>
      </c>
      <c r="AC10" s="313">
        <v>16.293333333333333</v>
      </c>
      <c r="AD10" s="313">
        <v>21.301199999999998</v>
      </c>
      <c r="AE10" s="313">
        <v>10.577499999999999</v>
      </c>
      <c r="AF10" s="313">
        <v>20.258400000000005</v>
      </c>
      <c r="AG10" s="313">
        <v>25.905200000000001</v>
      </c>
      <c r="AH10" s="313">
        <v>24.672800000000002</v>
      </c>
      <c r="AI10" s="313">
        <v>21.858400000000007</v>
      </c>
      <c r="AJ10" s="313">
        <v>16.660400000000003</v>
      </c>
      <c r="AK10" s="313">
        <v>35.622</v>
      </c>
      <c r="AL10" s="313">
        <v>33.251600000000003</v>
      </c>
      <c r="AM10" s="308">
        <v>27.110799999999998</v>
      </c>
      <c r="AN10" s="313">
        <v>21.584400000000002</v>
      </c>
      <c r="AO10" s="313">
        <v>15.254615384615384</v>
      </c>
      <c r="AP10" s="313">
        <v>19.06625</v>
      </c>
      <c r="AQ10" s="313">
        <v>33.028000000000006</v>
      </c>
      <c r="AR10" s="313">
        <v>25.283999999999992</v>
      </c>
      <c r="AS10" s="294"/>
      <c r="AT10" s="294"/>
      <c r="AU10" s="294"/>
      <c r="AV10" s="294"/>
      <c r="AW10" s="294"/>
      <c r="AX10" s="294"/>
      <c r="AY10" s="294"/>
      <c r="AZ10" s="294"/>
      <c r="BA10" s="294"/>
      <c r="BB10" s="294"/>
      <c r="BC10" s="294"/>
      <c r="BD10" s="294"/>
      <c r="BE10" s="294"/>
      <c r="BF10" s="294"/>
      <c r="BG10" s="294"/>
      <c r="BH10" s="294"/>
      <c r="BI10" s="294"/>
      <c r="BJ10" s="294"/>
      <c r="BK10" s="294"/>
      <c r="BL10" s="294"/>
      <c r="BM10" s="294"/>
      <c r="BN10" s="294"/>
      <c r="BO10" s="294"/>
      <c r="BP10" s="294"/>
      <c r="BQ10" s="294"/>
      <c r="BR10" s="294"/>
      <c r="BS10" s="294"/>
      <c r="BT10" s="294"/>
      <c r="BU10" s="294"/>
      <c r="BV10" s="294"/>
      <c r="BW10" s="294"/>
      <c r="BX10" s="294"/>
      <c r="BY10" s="294"/>
      <c r="BZ10" s="294"/>
      <c r="CA10" s="294"/>
      <c r="CB10" s="294"/>
      <c r="CC10" s="294"/>
    </row>
    <row r="11" spans="1:81" ht="18.75" customHeight="1" x14ac:dyDescent="0.2">
      <c r="A11" s="257">
        <v>7</v>
      </c>
      <c r="B11" s="258" t="s">
        <v>801</v>
      </c>
      <c r="C11" s="270" t="s">
        <v>268</v>
      </c>
      <c r="D11" s="275">
        <v>537</v>
      </c>
      <c r="E11" s="285">
        <v>538.25423076923084</v>
      </c>
      <c r="F11" s="259">
        <v>539.22104166666668</v>
      </c>
      <c r="G11" s="259">
        <v>539.45604166666658</v>
      </c>
      <c r="H11" s="295">
        <v>538.20312500000011</v>
      </c>
      <c r="I11" s="308">
        <v>537.89940000000013</v>
      </c>
      <c r="J11" s="308">
        <v>538.82200000000012</v>
      </c>
      <c r="K11" s="294">
        <v>541.38760000000002</v>
      </c>
      <c r="L11" s="308">
        <v>539.36039999999991</v>
      </c>
      <c r="M11" s="308">
        <v>539.36039999999991</v>
      </c>
      <c r="N11" s="313">
        <v>539.88469387755094</v>
      </c>
      <c r="O11" s="317">
        <v>538.3608333333334</v>
      </c>
      <c r="P11" s="317">
        <v>538.92541666666659</v>
      </c>
      <c r="Q11" s="317">
        <v>539.39520833333336</v>
      </c>
      <c r="R11" s="317">
        <v>540.61312500000008</v>
      </c>
      <c r="S11" s="313">
        <v>538.87321917808219</v>
      </c>
      <c r="T11" s="313">
        <v>539.04671232876717</v>
      </c>
      <c r="U11" s="313">
        <v>538.52663265306114</v>
      </c>
      <c r="V11" s="313">
        <v>538.68770270270272</v>
      </c>
      <c r="W11" s="313">
        <v>539.26017647058802</v>
      </c>
      <c r="X11" s="317">
        <v>539.25226027397252</v>
      </c>
      <c r="Y11" s="313">
        <v>538.67980000000011</v>
      </c>
      <c r="Z11" s="313">
        <v>538.5631249999999</v>
      </c>
      <c r="AA11" s="313">
        <v>538.72416666666675</v>
      </c>
      <c r="AB11" s="313">
        <v>539.75541666666663</v>
      </c>
      <c r="AC11" s="313">
        <v>540.70416666666665</v>
      </c>
      <c r="AD11" s="313">
        <v>538.76639999999998</v>
      </c>
      <c r="AE11" s="313">
        <v>538.84187499999996</v>
      </c>
      <c r="AF11" s="313">
        <v>538.59320000000002</v>
      </c>
      <c r="AG11" s="313">
        <v>538.83399999999995</v>
      </c>
      <c r="AH11" s="313">
        <v>538.28459999999995</v>
      </c>
      <c r="AI11" s="313">
        <v>538.03700000000003</v>
      </c>
      <c r="AJ11" s="313">
        <v>538.35199999999998</v>
      </c>
      <c r="AK11" s="313">
        <v>539.12</v>
      </c>
      <c r="AL11" s="313">
        <v>539.51899999999989</v>
      </c>
      <c r="AM11" s="308">
        <v>538.42719999999986</v>
      </c>
      <c r="AN11" s="313">
        <v>539.82899999999995</v>
      </c>
      <c r="AO11" s="313">
        <v>538.25423076923084</v>
      </c>
      <c r="AP11" s="313">
        <v>539.11416666666673</v>
      </c>
      <c r="AQ11" s="313">
        <v>538.27379999999994</v>
      </c>
      <c r="AR11" s="313">
        <v>539.01140000000009</v>
      </c>
      <c r="AS11" s="294"/>
      <c r="AT11" s="294"/>
      <c r="AU11" s="294"/>
      <c r="AV11" s="294"/>
      <c r="AW11" s="294"/>
      <c r="AX11" s="294"/>
      <c r="AY11" s="294"/>
      <c r="AZ11" s="294"/>
      <c r="BA11" s="294"/>
      <c r="BB11" s="294"/>
      <c r="BC11" s="294"/>
      <c r="BD11" s="294"/>
      <c r="BE11" s="294"/>
      <c r="BF11" s="294"/>
      <c r="BG11" s="294"/>
      <c r="BH11" s="294"/>
      <c r="BI11" s="294"/>
      <c r="BJ11" s="294"/>
      <c r="BK11" s="294"/>
      <c r="BL11" s="294"/>
      <c r="BM11" s="294"/>
      <c r="BN11" s="294"/>
      <c r="BO11" s="294"/>
      <c r="BP11" s="294"/>
      <c r="BQ11" s="294"/>
      <c r="BR11" s="294"/>
      <c r="BS11" s="294"/>
      <c r="BT11" s="294"/>
      <c r="BU11" s="294"/>
      <c r="BV11" s="294"/>
      <c r="BW11" s="294"/>
      <c r="BX11" s="294"/>
      <c r="BY11" s="294"/>
      <c r="BZ11" s="294"/>
      <c r="CA11" s="294"/>
      <c r="CB11" s="294"/>
      <c r="CC11" s="294"/>
    </row>
    <row r="12" spans="1:81" ht="18.75" customHeight="1" x14ac:dyDescent="0.2">
      <c r="A12" s="257">
        <v>8</v>
      </c>
      <c r="B12" s="258" t="s">
        <v>802</v>
      </c>
      <c r="C12" s="270" t="s">
        <v>342</v>
      </c>
      <c r="D12" s="275">
        <v>150</v>
      </c>
      <c r="E12" s="285">
        <v>142.52036346153847</v>
      </c>
      <c r="F12" s="259">
        <v>143.00110062499999</v>
      </c>
      <c r="G12" s="259">
        <v>147.75087781249999</v>
      </c>
      <c r="H12" s="295">
        <v>147.86665624999998</v>
      </c>
      <c r="I12" s="308">
        <v>144.65788699999999</v>
      </c>
      <c r="J12" s="308">
        <v>143.86033399999997</v>
      </c>
      <c r="K12" s="294">
        <v>146.8831874</v>
      </c>
      <c r="L12" s="308">
        <v>145.67871560000003</v>
      </c>
      <c r="M12" s="308">
        <v>145.67871560000003</v>
      </c>
      <c r="N12" s="313">
        <v>117.08542051020407</v>
      </c>
      <c r="O12" s="317">
        <v>143.73930312500002</v>
      </c>
      <c r="P12" s="317">
        <v>144.30399125000002</v>
      </c>
      <c r="Q12" s="317">
        <v>147.12600125</v>
      </c>
      <c r="R12" s="317">
        <v>147.88443687500001</v>
      </c>
      <c r="S12" s="313">
        <v>143.10332452054797</v>
      </c>
      <c r="T12" s="313">
        <v>114.07909568493152</v>
      </c>
      <c r="U12" s="313">
        <v>145.27475581632655</v>
      </c>
      <c r="V12" s="313">
        <v>115.39256243243244</v>
      </c>
      <c r="W12" s="313">
        <v>143.78952888235298</v>
      </c>
      <c r="X12" s="317">
        <v>117.03083061643834</v>
      </c>
      <c r="Y12" s="313">
        <v>115.29479119999999</v>
      </c>
      <c r="Z12" s="313">
        <v>141.14925875</v>
      </c>
      <c r="AA12" s="313">
        <v>143.22162125</v>
      </c>
      <c r="AB12" s="313">
        <v>146.98886562500002</v>
      </c>
      <c r="AC12" s="313">
        <v>145.92632000000003</v>
      </c>
      <c r="AD12" s="313">
        <v>147.67681640000001</v>
      </c>
      <c r="AE12" s="313">
        <v>142.217935625</v>
      </c>
      <c r="AF12" s="313">
        <v>142.34351179999999</v>
      </c>
      <c r="AG12" s="313">
        <v>147.06643819999999</v>
      </c>
      <c r="AH12" s="313">
        <v>147.1606142</v>
      </c>
      <c r="AI12" s="313">
        <v>142.0186046</v>
      </c>
      <c r="AJ12" s="313">
        <v>142.04764220000004</v>
      </c>
      <c r="AK12" s="313">
        <v>147.04505240000003</v>
      </c>
      <c r="AL12" s="313">
        <v>145.47407900000002</v>
      </c>
      <c r="AM12" s="308">
        <v>142.18439359999999</v>
      </c>
      <c r="AN12" s="313">
        <v>142.90974499999999</v>
      </c>
      <c r="AO12" s="313">
        <v>142.52036346153847</v>
      </c>
      <c r="AP12" s="313">
        <v>142.61013124999999</v>
      </c>
      <c r="AQ12" s="313">
        <v>146.96990779999999</v>
      </c>
      <c r="AR12" s="313">
        <v>145.53784400000001</v>
      </c>
      <c r="AS12" s="294"/>
      <c r="AT12" s="294"/>
      <c r="AU12" s="294"/>
      <c r="AV12" s="294"/>
      <c r="AW12" s="294"/>
      <c r="AX12" s="294"/>
      <c r="AY12" s="294"/>
      <c r="AZ12" s="294"/>
      <c r="BA12" s="294"/>
      <c r="BB12" s="294"/>
      <c r="BC12" s="294"/>
      <c r="BD12" s="294"/>
      <c r="BE12" s="294"/>
      <c r="BF12" s="294"/>
      <c r="BG12" s="294"/>
      <c r="BH12" s="294"/>
      <c r="BI12" s="294"/>
      <c r="BJ12" s="294"/>
      <c r="BK12" s="294"/>
      <c r="BL12" s="294"/>
      <c r="BM12" s="294"/>
      <c r="BN12" s="294"/>
      <c r="BO12" s="294"/>
      <c r="BP12" s="294"/>
      <c r="BQ12" s="294"/>
      <c r="BR12" s="294"/>
      <c r="BS12" s="294"/>
      <c r="BT12" s="294"/>
      <c r="BU12" s="294"/>
      <c r="BV12" s="294"/>
      <c r="BW12" s="294"/>
      <c r="BX12" s="294"/>
      <c r="BY12" s="294"/>
      <c r="BZ12" s="294"/>
      <c r="CA12" s="294"/>
      <c r="CB12" s="294"/>
      <c r="CC12" s="294"/>
    </row>
    <row r="13" spans="1:81" ht="18.75" customHeight="1" x14ac:dyDescent="0.2">
      <c r="A13" s="257">
        <v>9</v>
      </c>
      <c r="B13" s="258" t="s">
        <v>803</v>
      </c>
      <c r="C13" s="270" t="s">
        <v>268</v>
      </c>
      <c r="D13" s="275">
        <v>537</v>
      </c>
      <c r="E13" s="285">
        <v>537.53160000000003</v>
      </c>
      <c r="F13" s="259">
        <v>537.53160000000003</v>
      </c>
      <c r="G13" s="259">
        <v>537.53160000000003</v>
      </c>
      <c r="H13" s="295">
        <v>537.53160000000003</v>
      </c>
      <c r="I13" s="308">
        <v>537.53160000000003</v>
      </c>
      <c r="J13" s="308">
        <v>537.53160000000003</v>
      </c>
      <c r="K13" s="294">
        <v>537.53160000000003</v>
      </c>
      <c r="L13" s="308">
        <v>537.53160000000003</v>
      </c>
      <c r="M13" s="308">
        <v>537.53160000000003</v>
      </c>
      <c r="N13" s="313">
        <v>537.53160000000003</v>
      </c>
      <c r="O13" s="317">
        <v>537.53160000000003</v>
      </c>
      <c r="P13" s="317">
        <v>537.53160000000003</v>
      </c>
      <c r="Q13" s="317">
        <v>537.53160000000003</v>
      </c>
      <c r="R13" s="317">
        <v>537.53160000000003</v>
      </c>
      <c r="S13" s="313">
        <v>537.53160000000003</v>
      </c>
      <c r="T13" s="313">
        <v>537.53160000000003</v>
      </c>
      <c r="U13" s="313">
        <v>537.53160000000003</v>
      </c>
      <c r="V13" s="313">
        <v>537.53160000000003</v>
      </c>
      <c r="W13" s="313">
        <v>537.53160000000003</v>
      </c>
      <c r="X13" s="317">
        <v>537.53160000000003</v>
      </c>
      <c r="Y13" s="313">
        <v>537.53160000000003</v>
      </c>
      <c r="Z13" s="313">
        <v>537.53160000000003</v>
      </c>
      <c r="AA13" s="313">
        <v>537.53160000000003</v>
      </c>
      <c r="AB13" s="313">
        <v>537.53160000000003</v>
      </c>
      <c r="AC13" s="313">
        <v>537.53160000000003</v>
      </c>
      <c r="AD13" s="313">
        <v>537.53160000000003</v>
      </c>
      <c r="AE13" s="313">
        <v>537.53160000000003</v>
      </c>
      <c r="AF13" s="313">
        <v>537.53160000000003</v>
      </c>
      <c r="AG13" s="313">
        <v>537.53160000000003</v>
      </c>
      <c r="AH13" s="313">
        <v>537.53160000000003</v>
      </c>
      <c r="AI13" s="313">
        <v>537.53160000000003</v>
      </c>
      <c r="AJ13" s="313">
        <v>537.53160000000003</v>
      </c>
      <c r="AK13" s="313">
        <v>537.53160000000003</v>
      </c>
      <c r="AL13" s="313">
        <v>537.53160000000003</v>
      </c>
      <c r="AM13" s="308">
        <v>537.53160000000003</v>
      </c>
      <c r="AN13" s="313">
        <v>537.53160000000003</v>
      </c>
      <c r="AO13" s="313">
        <v>537.53160000000003</v>
      </c>
      <c r="AP13" s="313">
        <v>537.53160000000003</v>
      </c>
      <c r="AQ13" s="313">
        <v>537.53160000000003</v>
      </c>
      <c r="AR13" s="313">
        <v>537.53160000000003</v>
      </c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4"/>
      <c r="BJ13" s="294"/>
      <c r="BK13" s="294"/>
      <c r="BL13" s="294"/>
      <c r="BM13" s="294"/>
      <c r="BN13" s="294"/>
      <c r="BO13" s="294"/>
      <c r="BP13" s="294"/>
      <c r="BQ13" s="294"/>
      <c r="BR13" s="294"/>
      <c r="BS13" s="294"/>
      <c r="BT13" s="294"/>
      <c r="BU13" s="294"/>
      <c r="BV13" s="294"/>
      <c r="BW13" s="294"/>
      <c r="BX13" s="294"/>
      <c r="BY13" s="294"/>
      <c r="BZ13" s="294"/>
      <c r="CA13" s="294"/>
      <c r="CB13" s="294"/>
      <c r="CC13" s="294"/>
    </row>
    <row r="14" spans="1:81" ht="18.75" customHeight="1" x14ac:dyDescent="0.2">
      <c r="A14" s="257">
        <v>10</v>
      </c>
      <c r="B14" s="258" t="s">
        <v>805</v>
      </c>
      <c r="C14" s="270" t="s">
        <v>342</v>
      </c>
      <c r="D14" s="275">
        <v>35.619999999999997</v>
      </c>
      <c r="E14" s="285">
        <v>32.223514999999992</v>
      </c>
      <c r="F14" s="259">
        <v>35.136267500000002</v>
      </c>
      <c r="G14" s="259">
        <v>32.332957812499984</v>
      </c>
      <c r="H14" s="295">
        <v>35.792106874999988</v>
      </c>
      <c r="I14" s="308">
        <v>35.228710399999997</v>
      </c>
      <c r="J14" s="308">
        <v>35.043693799999986</v>
      </c>
      <c r="K14" s="294">
        <v>35.943859399999994</v>
      </c>
      <c r="L14" s="308">
        <v>35.562250399999996</v>
      </c>
      <c r="M14" s="308">
        <v>35.562250399999996</v>
      </c>
      <c r="N14" s="313">
        <v>21.933625816326529</v>
      </c>
      <c r="O14" s="317">
        <v>34.994839999999996</v>
      </c>
      <c r="P14" s="317">
        <v>35.310395</v>
      </c>
      <c r="Q14" s="317">
        <v>36.172448749999994</v>
      </c>
      <c r="R14" s="317">
        <v>36.446311250000008</v>
      </c>
      <c r="S14" s="313">
        <v>21.220860890410975</v>
      </c>
      <c r="T14" s="313">
        <v>21.112480547945189</v>
      </c>
      <c r="U14" s="313">
        <v>21.273653061224472</v>
      </c>
      <c r="V14" s="313">
        <v>21.03176324324324</v>
      </c>
      <c r="W14" s="313">
        <v>22.318646529411762</v>
      </c>
      <c r="X14" s="317">
        <v>22.099796575342463</v>
      </c>
      <c r="Y14" s="313">
        <v>21.066798199999997</v>
      </c>
      <c r="Z14" s="313">
        <v>35.10683749999999</v>
      </c>
      <c r="AA14" s="313">
        <v>35.025700624999985</v>
      </c>
      <c r="AB14" s="313">
        <v>22.316845624999999</v>
      </c>
      <c r="AC14" s="313">
        <v>28.559480000000001</v>
      </c>
      <c r="AD14" s="313">
        <v>36.34548079999999</v>
      </c>
      <c r="AE14" s="313">
        <v>34.166508125000007</v>
      </c>
      <c r="AF14" s="313">
        <v>33.733470199999999</v>
      </c>
      <c r="AG14" s="313">
        <v>36.392961200000002</v>
      </c>
      <c r="AH14" s="313">
        <v>35.951511199999999</v>
      </c>
      <c r="AI14" s="313">
        <v>32.92237939999999</v>
      </c>
      <c r="AJ14" s="313">
        <v>33.655186399999991</v>
      </c>
      <c r="AK14" s="313">
        <v>36.6768626</v>
      </c>
      <c r="AL14" s="313">
        <v>36.532655599999998</v>
      </c>
      <c r="AM14" s="308">
        <v>32.492112800000001</v>
      </c>
      <c r="AN14" s="313">
        <v>35.591287999999992</v>
      </c>
      <c r="AO14" s="313">
        <v>32.223514999999992</v>
      </c>
      <c r="AP14" s="313">
        <v>29.429504374999997</v>
      </c>
      <c r="AQ14" s="313">
        <v>36.266412200000012</v>
      </c>
      <c r="AR14" s="313">
        <v>36.294076399999994</v>
      </c>
      <c r="AS14" s="294"/>
      <c r="AT14" s="294"/>
      <c r="AU14" s="294"/>
      <c r="AV14" s="294"/>
      <c r="AW14" s="294"/>
      <c r="AX14" s="294"/>
      <c r="AY14" s="294"/>
      <c r="AZ14" s="294"/>
      <c r="BA14" s="294"/>
      <c r="BB14" s="294"/>
      <c r="BC14" s="294"/>
      <c r="BD14" s="294"/>
      <c r="BE14" s="294"/>
      <c r="BF14" s="294"/>
      <c r="BG14" s="294"/>
      <c r="BH14" s="294"/>
      <c r="BI14" s="294"/>
      <c r="BJ14" s="294"/>
      <c r="BK14" s="294"/>
      <c r="BL14" s="294"/>
      <c r="BM14" s="294"/>
      <c r="BN14" s="294"/>
      <c r="BO14" s="294"/>
      <c r="BP14" s="294"/>
      <c r="BQ14" s="294"/>
      <c r="BR14" s="294"/>
      <c r="BS14" s="294"/>
      <c r="BT14" s="294"/>
      <c r="BU14" s="294"/>
      <c r="BV14" s="294"/>
      <c r="BW14" s="294"/>
      <c r="BX14" s="294"/>
      <c r="BY14" s="294"/>
      <c r="BZ14" s="294"/>
      <c r="CA14" s="294"/>
      <c r="CB14" s="294"/>
      <c r="CC14" s="294"/>
    </row>
    <row r="15" spans="1:81" ht="18.75" customHeight="1" x14ac:dyDescent="0.2">
      <c r="A15" s="257">
        <v>11</v>
      </c>
      <c r="B15" s="258" t="s">
        <v>807</v>
      </c>
      <c r="C15" s="270" t="s">
        <v>268</v>
      </c>
      <c r="D15" s="275">
        <v>345.1</v>
      </c>
      <c r="E15" s="285">
        <v>342.51923076923083</v>
      </c>
      <c r="F15" s="259">
        <v>341.47750000000002</v>
      </c>
      <c r="G15" s="259">
        <v>339.87083333333334</v>
      </c>
      <c r="H15" s="295">
        <v>342.56749999999994</v>
      </c>
      <c r="I15" s="308">
        <v>341.03479999999996</v>
      </c>
      <c r="J15" s="308">
        <v>342.23160000000001</v>
      </c>
      <c r="K15" s="294">
        <v>345.93480000000005</v>
      </c>
      <c r="L15" s="308">
        <v>343.43519999999995</v>
      </c>
      <c r="M15" s="308">
        <v>343.43519999999995</v>
      </c>
      <c r="N15" s="313">
        <v>340.82061224489792</v>
      </c>
      <c r="O15" s="317">
        <v>342.59833333333319</v>
      </c>
      <c r="P15" s="317">
        <v>343.66833333333335</v>
      </c>
      <c r="Q15" s="317">
        <v>345.57749999999993</v>
      </c>
      <c r="R15" s="317">
        <v>346.47</v>
      </c>
      <c r="S15" s="313">
        <v>327.8260273972603</v>
      </c>
      <c r="T15" s="313">
        <v>338.02643835616448</v>
      </c>
      <c r="U15" s="313">
        <v>326.08775510204089</v>
      </c>
      <c r="V15" s="313">
        <v>336.70324324324326</v>
      </c>
      <c r="W15" s="313">
        <v>331.75894117647056</v>
      </c>
      <c r="X15" s="317">
        <v>341.50767123287676</v>
      </c>
      <c r="Y15" s="313">
        <v>336.87120000000004</v>
      </c>
      <c r="Z15" s="313">
        <v>344.57291666666669</v>
      </c>
      <c r="AA15" s="313">
        <v>343.27833333333342</v>
      </c>
      <c r="AB15" s="313">
        <v>331.62166666666667</v>
      </c>
      <c r="AC15" s="313">
        <v>339.98916666666668</v>
      </c>
      <c r="AD15" s="313">
        <v>344.90199999999999</v>
      </c>
      <c r="AE15" s="313">
        <v>342.85249999999996</v>
      </c>
      <c r="AF15" s="313">
        <v>343.08480000000003</v>
      </c>
      <c r="AG15" s="313">
        <v>345.61879999999996</v>
      </c>
      <c r="AH15" s="313">
        <v>344.10520000000002</v>
      </c>
      <c r="AI15" s="313">
        <v>342.41720000000004</v>
      </c>
      <c r="AJ15" s="313">
        <v>343.17840000000001</v>
      </c>
      <c r="AK15" s="313">
        <v>346.6164</v>
      </c>
      <c r="AL15" s="313">
        <v>347.06920000000008</v>
      </c>
      <c r="AM15" s="308">
        <v>343.29439999999994</v>
      </c>
      <c r="AN15" s="313">
        <v>346.30560000000003</v>
      </c>
      <c r="AO15" s="313">
        <v>342.51923076923083</v>
      </c>
      <c r="AP15" s="313">
        <v>341.0737499999999</v>
      </c>
      <c r="AQ15" s="313">
        <v>344.48800000000006</v>
      </c>
      <c r="AR15" s="313">
        <v>345.60399999999993</v>
      </c>
      <c r="AS15" s="294"/>
      <c r="AT15" s="294"/>
      <c r="AU15" s="294"/>
      <c r="AV15" s="294"/>
      <c r="AW15" s="294"/>
      <c r="AX15" s="294"/>
      <c r="AY15" s="294"/>
      <c r="AZ15" s="294"/>
      <c r="BA15" s="294"/>
      <c r="BB15" s="294"/>
      <c r="BC15" s="294"/>
      <c r="BD15" s="294"/>
      <c r="BE15" s="294"/>
      <c r="BF15" s="294"/>
      <c r="BG15" s="294"/>
      <c r="BH15" s="294"/>
      <c r="BI15" s="294"/>
      <c r="BJ15" s="294"/>
      <c r="BK15" s="294"/>
      <c r="BL15" s="294"/>
      <c r="BM15" s="294"/>
      <c r="BN15" s="294"/>
      <c r="BO15" s="294"/>
      <c r="BP15" s="294"/>
      <c r="BQ15" s="294"/>
      <c r="BR15" s="294"/>
      <c r="BS15" s="294"/>
      <c r="BT15" s="294"/>
      <c r="BU15" s="294"/>
      <c r="BV15" s="294"/>
      <c r="BW15" s="294"/>
      <c r="BX15" s="294"/>
      <c r="BY15" s="294"/>
      <c r="BZ15" s="294"/>
      <c r="CA15" s="294"/>
      <c r="CB15" s="294"/>
      <c r="CC15" s="294"/>
    </row>
    <row r="16" spans="1:81" ht="18.75" customHeight="1" x14ac:dyDescent="0.2">
      <c r="A16" s="257">
        <v>12</v>
      </c>
      <c r="B16" s="258" t="s">
        <v>809</v>
      </c>
      <c r="C16" s="270" t="s">
        <v>342</v>
      </c>
      <c r="D16" s="275">
        <v>39.56</v>
      </c>
      <c r="E16" s="285">
        <v>38.346841538461533</v>
      </c>
      <c r="F16" s="259">
        <v>38.197804999999981</v>
      </c>
      <c r="G16" s="259">
        <v>34.122771874999998</v>
      </c>
      <c r="H16" s="295">
        <v>37.846279999999993</v>
      </c>
      <c r="I16" s="308">
        <v>38.909814799999999</v>
      </c>
      <c r="J16" s="308">
        <v>38.525655200000003</v>
      </c>
      <c r="K16" s="294">
        <v>38.012395999999995</v>
      </c>
      <c r="L16" s="308">
        <v>37.617641599999992</v>
      </c>
      <c r="M16" s="308">
        <v>37.617641599999992</v>
      </c>
      <c r="N16" s="313">
        <v>22.891502244897964</v>
      </c>
      <c r="O16" s="317">
        <v>38.546059999999983</v>
      </c>
      <c r="P16" s="317">
        <v>38.855892499999989</v>
      </c>
      <c r="Q16" s="317">
        <v>38.246854999999996</v>
      </c>
      <c r="R16" s="317">
        <v>38.540746249999991</v>
      </c>
      <c r="S16" s="313">
        <v>23.764405753424661</v>
      </c>
      <c r="T16" s="313">
        <v>23.599248356164388</v>
      </c>
      <c r="U16" s="313">
        <v>23.863493061224474</v>
      </c>
      <c r="V16" s="313">
        <v>23.500701621621616</v>
      </c>
      <c r="W16" s="313">
        <v>23.289201764705886</v>
      </c>
      <c r="X16" s="317">
        <v>23.049753972602744</v>
      </c>
      <c r="Y16" s="313">
        <v>23.523025999999994</v>
      </c>
      <c r="Z16" s="313">
        <v>38.945817500000018</v>
      </c>
      <c r="AA16" s="313">
        <v>38.884096249999985</v>
      </c>
      <c r="AB16" s="313">
        <v>23.285378750000007</v>
      </c>
      <c r="AC16" s="313">
        <v>30.011360000000003</v>
      </c>
      <c r="AD16" s="313">
        <v>38.421276799999994</v>
      </c>
      <c r="AE16" s="313">
        <v>38.747164999999995</v>
      </c>
      <c r="AF16" s="313">
        <v>38.496617600000008</v>
      </c>
      <c r="AG16" s="313">
        <v>38.475428000000001</v>
      </c>
      <c r="AH16" s="313">
        <v>37.987282400000005</v>
      </c>
      <c r="AI16" s="313">
        <v>38.163862399999985</v>
      </c>
      <c r="AJ16" s="313">
        <v>38.688893599999993</v>
      </c>
      <c r="AK16" s="313">
        <v>38.743829599999998</v>
      </c>
      <c r="AL16" s="313">
        <v>38.5582244</v>
      </c>
      <c r="AM16" s="308">
        <v>38.290607600000008</v>
      </c>
      <c r="AN16" s="313">
        <v>37.634907199999994</v>
      </c>
      <c r="AO16" s="313">
        <v>38.346841538461533</v>
      </c>
      <c r="AP16" s="313">
        <v>35.023452499999998</v>
      </c>
      <c r="AQ16" s="313">
        <v>38.171318000000021</v>
      </c>
      <c r="AR16" s="313">
        <v>38.355745999999989</v>
      </c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  <c r="BE16" s="294"/>
      <c r="BF16" s="294"/>
      <c r="BG16" s="294"/>
      <c r="BH16" s="294"/>
      <c r="BI16" s="294"/>
      <c r="BJ16" s="294"/>
      <c r="BK16" s="294"/>
      <c r="BL16" s="294"/>
      <c r="BM16" s="294"/>
      <c r="BN16" s="294"/>
      <c r="BO16" s="294"/>
      <c r="BP16" s="294"/>
      <c r="BQ16" s="294"/>
      <c r="BR16" s="294"/>
      <c r="BS16" s="294"/>
      <c r="BT16" s="294"/>
      <c r="BU16" s="294"/>
      <c r="BV16" s="294"/>
      <c r="BW16" s="294"/>
      <c r="BX16" s="294"/>
      <c r="BY16" s="294"/>
      <c r="BZ16" s="294"/>
      <c r="CA16" s="294"/>
      <c r="CB16" s="294"/>
      <c r="CC16" s="294"/>
    </row>
    <row r="17" spans="1:81" ht="18.75" customHeight="1" x14ac:dyDescent="0.2">
      <c r="A17" s="257">
        <v>13</v>
      </c>
      <c r="B17" s="258" t="s">
        <v>810</v>
      </c>
      <c r="C17" s="270" t="s">
        <v>811</v>
      </c>
      <c r="D17" s="275">
        <v>75.98</v>
      </c>
      <c r="E17" s="285">
        <v>52.569907384615391</v>
      </c>
      <c r="F17" s="259">
        <v>58.844800000000021</v>
      </c>
      <c r="G17" s="259">
        <v>62.007963974880056</v>
      </c>
      <c r="H17" s="295">
        <v>60.276788208000028</v>
      </c>
      <c r="I17" s="308">
        <v>73.556000000000026</v>
      </c>
      <c r="J17" s="308">
        <v>73.556000000000026</v>
      </c>
      <c r="K17" s="294">
        <v>36.778000000000013</v>
      </c>
      <c r="L17" s="308">
        <v>36.778000000000013</v>
      </c>
      <c r="M17" s="308">
        <v>73.379383952840001</v>
      </c>
      <c r="N17" s="313">
        <v>60.490052571428564</v>
      </c>
      <c r="O17" s="317">
        <v>74.990341999999984</v>
      </c>
      <c r="P17" s="317">
        <v>80.507042000000027</v>
      </c>
      <c r="Q17" s="317">
        <v>80.773682499999964</v>
      </c>
      <c r="R17" s="317">
        <v>88.12315283333335</v>
      </c>
      <c r="S17" s="313">
        <v>55.869308657534312</v>
      </c>
      <c r="T17" s="313">
        <v>52.93009150684928</v>
      </c>
      <c r="U17" s="313">
        <v>55.276583428571435</v>
      </c>
      <c r="V17" s="313">
        <v>57.12518</v>
      </c>
      <c r="W17" s="313">
        <v>58.77643618823528</v>
      </c>
      <c r="X17" s="317">
        <v>60.762294082191737</v>
      </c>
      <c r="Y17" s="313">
        <v>57.111820639999955</v>
      </c>
      <c r="Z17" s="313">
        <v>76.755685999999969</v>
      </c>
      <c r="AA17" s="313">
        <v>82.787277999999972</v>
      </c>
      <c r="AB17" s="313">
        <v>61.79623449999999</v>
      </c>
      <c r="AC17" s="313">
        <v>69.878199999999978</v>
      </c>
      <c r="AD17" s="313">
        <v>83.235969600000018</v>
      </c>
      <c r="AE17" s="313">
        <v>75.946569999999994</v>
      </c>
      <c r="AF17" s="313">
        <v>72.373219519999964</v>
      </c>
      <c r="AG17" s="313">
        <v>84.03625888000002</v>
      </c>
      <c r="AH17" s="313">
        <v>76.174593600000037</v>
      </c>
      <c r="AI17" s="313">
        <v>60.065829600000001</v>
      </c>
      <c r="AJ17" s="313">
        <v>77.222031039999962</v>
      </c>
      <c r="AK17" s="313">
        <v>76.574738239999988</v>
      </c>
      <c r="AL17" s="313">
        <v>81.211708480000013</v>
      </c>
      <c r="AM17" s="308">
        <v>54.828642399999971</v>
      </c>
      <c r="AN17" s="313">
        <v>52.068821280000016</v>
      </c>
      <c r="AO17" s="313">
        <v>52.569907384615391</v>
      </c>
      <c r="AP17" s="313">
        <v>71.848887833333322</v>
      </c>
      <c r="AQ17" s="313">
        <v>79.411057600000007</v>
      </c>
      <c r="AR17" s="313">
        <v>78.463656320000013</v>
      </c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  <c r="BJ17" s="294"/>
      <c r="BK17" s="294"/>
      <c r="BL17" s="294"/>
      <c r="BM17" s="294"/>
      <c r="BN17" s="294"/>
      <c r="BO17" s="294"/>
      <c r="BP17" s="294"/>
      <c r="BQ17" s="294"/>
      <c r="BR17" s="294"/>
      <c r="BS17" s="294"/>
      <c r="BT17" s="294"/>
      <c r="BU17" s="294"/>
      <c r="BV17" s="294"/>
      <c r="BW17" s="294"/>
      <c r="BX17" s="294"/>
      <c r="BY17" s="294"/>
      <c r="BZ17" s="294"/>
      <c r="CA17" s="294"/>
      <c r="CB17" s="294"/>
      <c r="CC17" s="294"/>
    </row>
    <row r="18" spans="1:81" ht="18.75" customHeight="1" x14ac:dyDescent="0.2">
      <c r="A18" s="257">
        <v>14</v>
      </c>
      <c r="B18" s="258" t="s">
        <v>340</v>
      </c>
      <c r="C18" s="270" t="s">
        <v>268</v>
      </c>
      <c r="D18" s="275">
        <v>246</v>
      </c>
      <c r="E18" s="285">
        <v>245.84384615384619</v>
      </c>
      <c r="F18" s="259">
        <v>247.4</v>
      </c>
      <c r="G18" s="259">
        <v>241.36229166666669</v>
      </c>
      <c r="H18" s="295">
        <v>247.54791666666665</v>
      </c>
      <c r="I18" s="308">
        <v>248.36599999999999</v>
      </c>
      <c r="J18" s="308">
        <v>247.82839999999999</v>
      </c>
      <c r="K18" s="294">
        <v>247.74160000000003</v>
      </c>
      <c r="L18" s="308">
        <v>247.19679999999997</v>
      </c>
      <c r="M18" s="308">
        <v>247.19679999999997</v>
      </c>
      <c r="N18" s="313">
        <v>222.36428571428578</v>
      </c>
      <c r="O18" s="317">
        <v>247.81999999999985</v>
      </c>
      <c r="P18" s="317">
        <v>248.21666666666661</v>
      </c>
      <c r="Q18" s="317">
        <v>248.12291666666667</v>
      </c>
      <c r="R18" s="317">
        <v>248.50874999999994</v>
      </c>
      <c r="S18" s="313">
        <v>222.96068493150682</v>
      </c>
      <c r="T18" s="313">
        <v>222.76643835616443</v>
      </c>
      <c r="U18" s="313">
        <v>223.04040816326551</v>
      </c>
      <c r="V18" s="313">
        <v>222.51945945945948</v>
      </c>
      <c r="W18" s="313">
        <v>222.93717647058827</v>
      </c>
      <c r="X18" s="317">
        <v>222.71931506849316</v>
      </c>
      <c r="Y18" s="313">
        <v>222.60359999999997</v>
      </c>
      <c r="Z18" s="313">
        <v>248.00791666666666</v>
      </c>
      <c r="AA18" s="313">
        <v>247.80499999999992</v>
      </c>
      <c r="AB18" s="313">
        <v>222.73083333333332</v>
      </c>
      <c r="AC18" s="313">
        <v>235.67999999999998</v>
      </c>
      <c r="AD18" s="313">
        <v>248.10399999999993</v>
      </c>
      <c r="AE18" s="313">
        <v>247.23333333333343</v>
      </c>
      <c r="AF18" s="313">
        <v>246.90999999999994</v>
      </c>
      <c r="AG18" s="313">
        <v>248.07919999999999</v>
      </c>
      <c r="AH18" s="313">
        <v>247.30199999999994</v>
      </c>
      <c r="AI18" s="313">
        <v>246.32680000000005</v>
      </c>
      <c r="AJ18" s="313">
        <v>247.07879999999994</v>
      </c>
      <c r="AK18" s="313">
        <v>248.31719999999993</v>
      </c>
      <c r="AL18" s="313">
        <v>248.21359999999996</v>
      </c>
      <c r="AM18" s="308">
        <v>246.22480000000007</v>
      </c>
      <c r="AN18" s="313">
        <v>246.9984</v>
      </c>
      <c r="AO18" s="313">
        <v>245.84384615384619</v>
      </c>
      <c r="AP18" s="313">
        <v>241.19208333333333</v>
      </c>
      <c r="AQ18" s="313">
        <v>246.55279999999999</v>
      </c>
      <c r="AR18" s="313">
        <v>247.41319999999996</v>
      </c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  <c r="BJ18" s="294"/>
      <c r="BK18" s="294"/>
      <c r="BL18" s="294"/>
      <c r="BM18" s="294"/>
      <c r="BN18" s="294"/>
      <c r="BO18" s="294"/>
      <c r="BP18" s="294"/>
      <c r="BQ18" s="294"/>
      <c r="BR18" s="294"/>
      <c r="BS18" s="294"/>
      <c r="BT18" s="294"/>
      <c r="BU18" s="294"/>
      <c r="BV18" s="294"/>
      <c r="BW18" s="294"/>
      <c r="BX18" s="294"/>
      <c r="BY18" s="294"/>
      <c r="BZ18" s="294"/>
      <c r="CA18" s="294"/>
      <c r="CB18" s="294"/>
      <c r="CC18" s="294"/>
    </row>
    <row r="19" spans="1:81" ht="18.75" customHeight="1" x14ac:dyDescent="0.2">
      <c r="A19" s="257">
        <v>15</v>
      </c>
      <c r="B19" s="258" t="s">
        <v>341</v>
      </c>
      <c r="C19" s="270" t="s">
        <v>342</v>
      </c>
      <c r="D19" s="275">
        <v>172.6</v>
      </c>
      <c r="E19" s="285">
        <v>170.053</v>
      </c>
      <c r="F19" s="259">
        <v>170.053</v>
      </c>
      <c r="G19" s="259">
        <v>170.053</v>
      </c>
      <c r="H19" s="295">
        <v>170.053</v>
      </c>
      <c r="I19" s="308">
        <v>170.053</v>
      </c>
      <c r="J19" s="308">
        <v>170.053</v>
      </c>
      <c r="K19" s="294">
        <v>170.053</v>
      </c>
      <c r="L19" s="308">
        <v>170.053</v>
      </c>
      <c r="M19" s="308">
        <v>170.053</v>
      </c>
      <c r="N19" s="313">
        <v>170.053</v>
      </c>
      <c r="O19" s="317">
        <v>170.053</v>
      </c>
      <c r="P19" s="317">
        <v>170.053</v>
      </c>
      <c r="Q19" s="317">
        <v>170.053</v>
      </c>
      <c r="R19" s="317">
        <v>170.053</v>
      </c>
      <c r="S19" s="313">
        <v>170.053</v>
      </c>
      <c r="T19" s="313">
        <v>170.053</v>
      </c>
      <c r="U19" s="313">
        <v>170.053</v>
      </c>
      <c r="V19" s="313">
        <v>170.053</v>
      </c>
      <c r="W19" s="313">
        <v>170.053</v>
      </c>
      <c r="X19" s="317">
        <v>170.053</v>
      </c>
      <c r="Y19" s="313">
        <v>170.053</v>
      </c>
      <c r="Z19" s="313">
        <v>170.053</v>
      </c>
      <c r="AA19" s="313">
        <v>170.053</v>
      </c>
      <c r="AB19" s="313">
        <v>170.053</v>
      </c>
      <c r="AC19" s="313">
        <v>170.053</v>
      </c>
      <c r="AD19" s="313">
        <v>170.053</v>
      </c>
      <c r="AE19" s="313">
        <v>170.053</v>
      </c>
      <c r="AF19" s="313">
        <v>170.053</v>
      </c>
      <c r="AG19" s="313">
        <v>170.053</v>
      </c>
      <c r="AH19" s="313">
        <v>170.053</v>
      </c>
      <c r="AI19" s="313">
        <v>170.053</v>
      </c>
      <c r="AJ19" s="313">
        <v>170.053</v>
      </c>
      <c r="AK19" s="313">
        <v>170.053</v>
      </c>
      <c r="AL19" s="313">
        <v>170.053</v>
      </c>
      <c r="AM19" s="308">
        <v>170.053</v>
      </c>
      <c r="AN19" s="313">
        <v>170.053</v>
      </c>
      <c r="AO19" s="313">
        <v>170.053</v>
      </c>
      <c r="AP19" s="313">
        <v>170.053</v>
      </c>
      <c r="AQ19" s="313">
        <v>170.053</v>
      </c>
      <c r="AR19" s="313">
        <v>170.053</v>
      </c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  <c r="BJ19" s="294"/>
      <c r="BK19" s="294"/>
      <c r="BL19" s="294"/>
      <c r="BM19" s="294"/>
      <c r="BN19" s="294"/>
      <c r="BO19" s="294"/>
      <c r="BP19" s="294"/>
      <c r="BQ19" s="294"/>
      <c r="BR19" s="294"/>
      <c r="BS19" s="294"/>
      <c r="BT19" s="294"/>
      <c r="BU19" s="294"/>
      <c r="BV19" s="294"/>
      <c r="BW19" s="294"/>
      <c r="BX19" s="294"/>
      <c r="BY19" s="294"/>
      <c r="BZ19" s="294"/>
      <c r="CA19" s="294"/>
      <c r="CB19" s="294"/>
      <c r="CC19" s="294"/>
    </row>
    <row r="20" spans="1:81" ht="18.75" customHeight="1" thickBot="1" x14ac:dyDescent="0.25">
      <c r="A20" s="271">
        <v>16</v>
      </c>
      <c r="B20" s="272" t="s">
        <v>816</v>
      </c>
      <c r="C20" s="273" t="s">
        <v>270</v>
      </c>
      <c r="D20" s="276">
        <v>717.9</v>
      </c>
      <c r="E20" s="286">
        <v>724.92184493545562</v>
      </c>
      <c r="F20" s="260">
        <v>729.04203597424123</v>
      </c>
      <c r="G20" s="260">
        <v>652.38055761927319</v>
      </c>
      <c r="H20" s="296">
        <v>721.76266314126974</v>
      </c>
      <c r="I20" s="309">
        <v>740.70848406412688</v>
      </c>
      <c r="J20" s="309">
        <v>731.57944358002328</v>
      </c>
      <c r="K20" s="297">
        <v>724.14657063587765</v>
      </c>
      <c r="L20" s="309">
        <v>720.07335279278618</v>
      </c>
      <c r="M20" s="309">
        <v>720.07335279278618</v>
      </c>
      <c r="N20" s="314">
        <v>439.33582517082039</v>
      </c>
      <c r="O20" s="318">
        <v>735.24217521803337</v>
      </c>
      <c r="P20" s="318">
        <v>738.27075801610295</v>
      </c>
      <c r="Q20" s="318">
        <v>724.55975892156289</v>
      </c>
      <c r="R20" s="318">
        <v>732.3796132265602</v>
      </c>
      <c r="S20" s="314">
        <v>446.13620211317686</v>
      </c>
      <c r="T20" s="314">
        <v>445.63235651952334</v>
      </c>
      <c r="U20" s="314">
        <v>450.67775789239352</v>
      </c>
      <c r="V20" s="314">
        <v>445.27814894069451</v>
      </c>
      <c r="W20" s="314">
        <v>441.51785256294119</v>
      </c>
      <c r="X20" s="318">
        <v>439.0838775126627</v>
      </c>
      <c r="Y20" s="314">
        <v>445.47524776937883</v>
      </c>
      <c r="Z20" s="314">
        <v>732.99034391008888</v>
      </c>
      <c r="AA20" s="314">
        <v>734.45826436432765</v>
      </c>
      <c r="AB20" s="314">
        <v>440.85060869970778</v>
      </c>
      <c r="AC20" s="314">
        <v>564.97548296334321</v>
      </c>
      <c r="AD20" s="314">
        <v>725.91367146596474</v>
      </c>
      <c r="AE20" s="314">
        <v>738.69342882950457</v>
      </c>
      <c r="AF20" s="314">
        <v>728.96410754754618</v>
      </c>
      <c r="AG20" s="314">
        <v>725.90030462801781</v>
      </c>
      <c r="AH20" s="314">
        <v>718.30178594264498</v>
      </c>
      <c r="AI20" s="314">
        <v>720.13855957869168</v>
      </c>
      <c r="AJ20" s="314">
        <v>735.12873533645916</v>
      </c>
      <c r="AK20" s="314">
        <v>722.42988700926389</v>
      </c>
      <c r="AL20" s="314">
        <v>723.68243468040851</v>
      </c>
      <c r="AM20" s="309">
        <v>718.16627025459024</v>
      </c>
      <c r="AN20" s="314">
        <v>714.63802619533612</v>
      </c>
      <c r="AO20" s="314">
        <v>724.92184493545562</v>
      </c>
      <c r="AP20" s="314">
        <v>664.46198350544773</v>
      </c>
      <c r="AQ20" s="314">
        <v>717.55714837802475</v>
      </c>
      <c r="AR20" s="314">
        <v>727.28112105275216</v>
      </c>
      <c r="AS20" s="297"/>
      <c r="AT20" s="297"/>
      <c r="AU20" s="297"/>
      <c r="AV20" s="297"/>
      <c r="AW20" s="297"/>
      <c r="AX20" s="297"/>
      <c r="AY20" s="297"/>
      <c r="AZ20" s="297"/>
      <c r="BA20" s="297"/>
      <c r="BB20" s="297"/>
      <c r="BC20" s="297"/>
      <c r="BD20" s="297"/>
      <c r="BE20" s="297"/>
      <c r="BF20" s="297"/>
      <c r="BG20" s="297"/>
      <c r="BH20" s="297"/>
      <c r="BI20" s="297"/>
      <c r="BJ20" s="297"/>
      <c r="BK20" s="297"/>
      <c r="BL20" s="297"/>
      <c r="BM20" s="297"/>
      <c r="BN20" s="297"/>
      <c r="BO20" s="297"/>
      <c r="BP20" s="297"/>
      <c r="BQ20" s="297"/>
      <c r="BR20" s="297"/>
      <c r="BS20" s="297"/>
      <c r="BT20" s="297"/>
      <c r="BU20" s="297"/>
      <c r="BV20" s="297"/>
      <c r="BW20" s="297"/>
      <c r="BX20" s="297"/>
      <c r="BY20" s="297"/>
      <c r="BZ20" s="297"/>
      <c r="CA20" s="297"/>
      <c r="CB20" s="297"/>
      <c r="CC20" s="297"/>
    </row>
    <row r="21" spans="1:81" ht="18.75" customHeight="1" x14ac:dyDescent="0.25">
      <c r="A21" s="261">
        <v>17</v>
      </c>
      <c r="B21" s="262" t="s">
        <v>812</v>
      </c>
      <c r="C21" s="280" t="s">
        <v>813</v>
      </c>
      <c r="D21" s="281">
        <v>1943</v>
      </c>
      <c r="E21" s="287">
        <v>1970.3109069195116</v>
      </c>
      <c r="F21" s="288">
        <v>2012.9904414012105</v>
      </c>
      <c r="G21" s="288">
        <v>2015.4590522203612</v>
      </c>
      <c r="H21" s="298">
        <v>1952.7377639100207</v>
      </c>
      <c r="I21" s="310">
        <v>1994.1687373565462</v>
      </c>
      <c r="J21" s="310">
        <v>2003.2590774915752</v>
      </c>
      <c r="K21" s="299">
        <v>2007.3086932784913</v>
      </c>
      <c r="L21" s="310">
        <v>1986.171348206261</v>
      </c>
      <c r="M21" s="310">
        <v>1986.171348206261</v>
      </c>
      <c r="N21" s="315">
        <v>2102.8310772812001</v>
      </c>
      <c r="O21" s="319">
        <v>1998.7364157581965</v>
      </c>
      <c r="P21" s="319">
        <v>2005.4906677501986</v>
      </c>
      <c r="Q21" s="319">
        <v>1998.2799309440818</v>
      </c>
      <c r="R21" s="319">
        <v>2012.7883609657604</v>
      </c>
      <c r="S21" s="315">
        <v>2096.6617895025915</v>
      </c>
      <c r="T21" s="315">
        <v>2087.5283711830798</v>
      </c>
      <c r="U21" s="315">
        <v>2102.7155582354058</v>
      </c>
      <c r="V21" s="315">
        <v>2088.7453140240459</v>
      </c>
      <c r="W21" s="315">
        <v>2120.2890466525505</v>
      </c>
      <c r="X21" s="319">
        <v>2123.4349975910432</v>
      </c>
      <c r="Y21" s="315">
        <v>2088.1024586977533</v>
      </c>
      <c r="Z21" s="315">
        <v>2017.4134694789363</v>
      </c>
      <c r="AA21" s="315">
        <v>2021.2507469095008</v>
      </c>
      <c r="AB21" s="315">
        <v>2102.8832016144397</v>
      </c>
      <c r="AC21" s="315">
        <v>2051.1286723038997</v>
      </c>
      <c r="AD21" s="315">
        <v>2007.7963998751106</v>
      </c>
      <c r="AE21" s="315">
        <v>1996.7187561771896</v>
      </c>
      <c r="AF21" s="315">
        <v>2005.1467062069848</v>
      </c>
      <c r="AG21" s="315">
        <v>2014.3295622899441</v>
      </c>
      <c r="AH21" s="315">
        <v>2023.5346656886582</v>
      </c>
      <c r="AI21" s="315">
        <v>2008.1883433280889</v>
      </c>
      <c r="AJ21" s="315">
        <v>2012.9548327732336</v>
      </c>
      <c r="AK21" s="315">
        <v>2006.3446429511791</v>
      </c>
      <c r="AL21" s="315">
        <v>2018.4203161195589</v>
      </c>
      <c r="AM21" s="310">
        <v>1985.3525942857761</v>
      </c>
      <c r="AN21" s="315">
        <v>1974.7717978616422</v>
      </c>
      <c r="AO21" s="315">
        <v>1970.3109069195116</v>
      </c>
      <c r="AP21" s="315">
        <v>2032.5138534844034</v>
      </c>
      <c r="AQ21" s="315">
        <v>2139.9767257813214</v>
      </c>
      <c r="AR21" s="315">
        <v>2017.1193397811451</v>
      </c>
      <c r="AS21" s="299"/>
      <c r="AT21" s="299"/>
      <c r="AU21" s="299"/>
      <c r="AV21" s="299"/>
      <c r="AW21" s="299"/>
      <c r="AX21" s="299"/>
      <c r="AY21" s="299"/>
      <c r="AZ21" s="299"/>
      <c r="BA21" s="299"/>
      <c r="BB21" s="299"/>
      <c r="BC21" s="299"/>
      <c r="BD21" s="299"/>
      <c r="BE21" s="299"/>
      <c r="BF21" s="299"/>
      <c r="BG21" s="299"/>
      <c r="BH21" s="299"/>
      <c r="BI21" s="299"/>
      <c r="BJ21" s="299"/>
      <c r="BK21" s="299"/>
      <c r="BL21" s="299"/>
      <c r="BM21" s="299"/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</row>
    <row r="22" spans="1:81" ht="18.75" customHeight="1" x14ac:dyDescent="0.25">
      <c r="A22" s="263">
        <v>18</v>
      </c>
      <c r="B22" s="264" t="s">
        <v>814</v>
      </c>
      <c r="C22" s="305" t="s">
        <v>1</v>
      </c>
      <c r="D22" s="282">
        <v>87.48</v>
      </c>
      <c r="E22" s="289" t="e">
        <v>#DIV/0!</v>
      </c>
      <c r="F22" s="290">
        <v>81.807053071322784</v>
      </c>
      <c r="G22" s="290">
        <v>82.882610541046958</v>
      </c>
      <c r="H22" s="295">
        <v>83.11075515816961</v>
      </c>
      <c r="I22" s="308">
        <v>84.732764481533792</v>
      </c>
      <c r="J22" s="308">
        <v>83.025151625691734</v>
      </c>
      <c r="K22" s="294">
        <v>82.683981541626096</v>
      </c>
      <c r="L22" s="308">
        <v>82.786321260613846</v>
      </c>
      <c r="M22" s="308">
        <v>82.786321260613846</v>
      </c>
      <c r="N22" s="313">
        <v>82.171979917430477</v>
      </c>
      <c r="O22" s="317">
        <v>83.817242152807736</v>
      </c>
      <c r="P22" s="317">
        <v>83.759506485034507</v>
      </c>
      <c r="Q22" s="317">
        <v>82.171987014922323</v>
      </c>
      <c r="R22" s="317">
        <v>83.564569873763602</v>
      </c>
      <c r="S22" s="313">
        <v>84.879240441664763</v>
      </c>
      <c r="T22" s="313">
        <v>84.849328729414651</v>
      </c>
      <c r="U22" s="313">
        <v>84.04552931303553</v>
      </c>
      <c r="V22" s="313">
        <v>84.734148337583477</v>
      </c>
      <c r="W22" s="313">
        <v>82.746002141963402</v>
      </c>
      <c r="X22" s="317">
        <v>82.705461068301503</v>
      </c>
      <c r="Y22" s="313">
        <v>84.782976140517547</v>
      </c>
      <c r="Z22" s="313">
        <v>82.971149855934044</v>
      </c>
      <c r="AA22" s="313">
        <v>83.327887139305588</v>
      </c>
      <c r="AB22" s="313">
        <v>82.480606421439589</v>
      </c>
      <c r="AC22" s="313">
        <v>82.449127375062318</v>
      </c>
      <c r="AD22" s="313">
        <v>82.061081181736</v>
      </c>
      <c r="AE22" s="313">
        <v>83.33475256776758</v>
      </c>
      <c r="AF22" s="313">
        <v>84.496579058819933</v>
      </c>
      <c r="AG22" s="313">
        <v>81.467240917750161</v>
      </c>
      <c r="AH22" s="313">
        <v>83.512581466528204</v>
      </c>
      <c r="AI22" s="313">
        <v>83.345407623566885</v>
      </c>
      <c r="AJ22" s="313">
        <v>84.416744502314884</v>
      </c>
      <c r="AK22" s="313">
        <v>83.469921475075097</v>
      </c>
      <c r="AL22" s="313">
        <v>82.878579620815245</v>
      </c>
      <c r="AM22" s="308">
        <f>'Boiler Efficiency'!J304</f>
        <v>82.3091354205051</v>
      </c>
      <c r="AN22" s="313">
        <f>'Boiler Efficiency'!J306</f>
        <v>82.3091354205051</v>
      </c>
      <c r="AO22" s="313">
        <f>'Boiler Efficiency'!J304</f>
        <v>82.3091354205051</v>
      </c>
      <c r="AP22" s="313">
        <v>84.1</v>
      </c>
      <c r="AQ22" s="313">
        <v>83.5</v>
      </c>
      <c r="AR22" s="313">
        <f>'Boiler Efficiency'!J304</f>
        <v>82.3091354205051</v>
      </c>
      <c r="AS22" s="294"/>
      <c r="AT22" s="294"/>
      <c r="AU22" s="294"/>
      <c r="AV22" s="294"/>
      <c r="AW22" s="294"/>
      <c r="AX22" s="294"/>
      <c r="AY22" s="294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BJ22" s="294"/>
      <c r="BK22" s="294"/>
      <c r="BL22" s="294"/>
      <c r="BM22" s="294"/>
      <c r="BN22" s="294"/>
      <c r="BO22" s="294"/>
      <c r="BP22" s="294"/>
      <c r="BQ22" s="294"/>
      <c r="BR22" s="294"/>
      <c r="BS22" s="294"/>
      <c r="BT22" s="294"/>
      <c r="BU22" s="294"/>
      <c r="BV22" s="294"/>
      <c r="BW22" s="294"/>
      <c r="BX22" s="294"/>
      <c r="BY22" s="294"/>
      <c r="BZ22" s="294"/>
      <c r="CA22" s="294"/>
      <c r="CB22" s="294"/>
      <c r="CC22" s="294"/>
    </row>
    <row r="23" spans="1:81" ht="18.75" customHeight="1" thickBot="1" x14ac:dyDescent="0.3">
      <c r="A23" s="265">
        <v>19</v>
      </c>
      <c r="B23" s="266" t="s">
        <v>815</v>
      </c>
      <c r="C23" s="323" t="s">
        <v>813</v>
      </c>
      <c r="D23" s="283">
        <v>2221</v>
      </c>
      <c r="E23" s="291" t="e">
        <v>#DIV/0!</v>
      </c>
      <c r="F23" s="292">
        <v>2460.6563441983444</v>
      </c>
      <c r="G23" s="292">
        <v>2431.703151075606</v>
      </c>
      <c r="H23" s="300">
        <v>2369.7204171213375</v>
      </c>
      <c r="I23" s="311">
        <v>2353.4800847801266</v>
      </c>
      <c r="J23" s="311">
        <v>2412.8339885761511</v>
      </c>
      <c r="K23" s="301">
        <v>2427.687510751934</v>
      </c>
      <c r="L23" s="311">
        <v>2399.1540123563814</v>
      </c>
      <c r="M23" s="311">
        <v>2399.1540123563814</v>
      </c>
      <c r="N23" s="316">
        <v>2559.0609833111048</v>
      </c>
      <c r="O23" s="320">
        <v>2384.6363402344919</v>
      </c>
      <c r="P23" s="320">
        <v>2394.343940061925</v>
      </c>
      <c r="Q23" s="320">
        <v>2431.8262263527799</v>
      </c>
      <c r="R23" s="320">
        <v>2408.6623840778084</v>
      </c>
      <c r="S23" s="316">
        <v>2470.1703014691457</v>
      </c>
      <c r="T23" s="316">
        <v>2460.2768253361537</v>
      </c>
      <c r="U23" s="316">
        <v>2501.8767511162223</v>
      </c>
      <c r="V23" s="316">
        <v>2465.0573057068086</v>
      </c>
      <c r="W23" s="316">
        <v>2562.4066320628649</v>
      </c>
      <c r="X23" s="320">
        <v>2567.4664891081679</v>
      </c>
      <c r="Y23" s="316">
        <v>2462.8794054563214</v>
      </c>
      <c r="Z23" s="316">
        <v>2431.4637955263338</v>
      </c>
      <c r="AA23" s="316">
        <v>2425.6594236337969</v>
      </c>
      <c r="AB23" s="316">
        <v>2549.5486670765154</v>
      </c>
      <c r="AC23" s="316">
        <v>2487.7506137491118</v>
      </c>
      <c r="AD23" s="316">
        <v>2446.7096593920792</v>
      </c>
      <c r="AE23" s="316">
        <v>2396.0217012145849</v>
      </c>
      <c r="AF23" s="316">
        <v>2373.0507537011149</v>
      </c>
      <c r="AG23" s="316">
        <v>2472.5638668966631</v>
      </c>
      <c r="AH23" s="316">
        <v>2423.0297161867634</v>
      </c>
      <c r="AI23" s="316">
        <v>2409.4768993129865</v>
      </c>
      <c r="AJ23" s="316">
        <v>2384.5444936792537</v>
      </c>
      <c r="AK23" s="316">
        <v>2403.6738114702703</v>
      </c>
      <c r="AL23" s="316">
        <v>2435.3944352741123</v>
      </c>
      <c r="AM23" s="311">
        <f t="shared" ref="AM23:AR23" si="0">AM21/AM22*100</f>
        <v>2412.0683374244009</v>
      </c>
      <c r="AN23" s="316">
        <f t="shared" si="0"/>
        <v>2399.213389586499</v>
      </c>
      <c r="AO23" s="316">
        <f t="shared" si="0"/>
        <v>2393.7937105686833</v>
      </c>
      <c r="AP23" s="316">
        <f t="shared" si="0"/>
        <v>2416.7822276865677</v>
      </c>
      <c r="AQ23" s="316">
        <f t="shared" si="0"/>
        <v>2562.8463781812234</v>
      </c>
      <c r="AR23" s="316">
        <f t="shared" si="0"/>
        <v>2450.6627720920446</v>
      </c>
      <c r="AS23" s="301"/>
      <c r="AT23" s="301"/>
      <c r="AU23" s="301"/>
      <c r="AV23" s="301"/>
      <c r="AW23" s="301"/>
      <c r="AX23" s="301"/>
      <c r="AY23" s="301"/>
      <c r="AZ23" s="301"/>
      <c r="BA23" s="301"/>
      <c r="BB23" s="301"/>
      <c r="BC23" s="301"/>
      <c r="BD23" s="301"/>
      <c r="BE23" s="301"/>
      <c r="BF23" s="301"/>
      <c r="BG23" s="301"/>
      <c r="BH23" s="301"/>
      <c r="BI23" s="301"/>
      <c r="BJ23" s="301"/>
      <c r="BK23" s="301"/>
      <c r="BL23" s="301"/>
      <c r="BM23" s="301"/>
      <c r="BN23" s="301"/>
      <c r="BO23" s="301"/>
      <c r="BP23" s="301"/>
      <c r="BQ23" s="301"/>
      <c r="BR23" s="301"/>
      <c r="BS23" s="301"/>
      <c r="BT23" s="301"/>
      <c r="BU23" s="301"/>
      <c r="BV23" s="301"/>
      <c r="BW23" s="301"/>
      <c r="BX23" s="301"/>
      <c r="BY23" s="301"/>
      <c r="BZ23" s="301"/>
      <c r="CA23" s="301"/>
      <c r="CB23" s="301"/>
      <c r="CC23" s="301"/>
    </row>
  </sheetData>
  <mergeCells count="4">
    <mergeCell ref="A1:C1"/>
    <mergeCell ref="A2:C2"/>
    <mergeCell ref="A3:C3"/>
    <mergeCell ref="D1:D3"/>
  </mergeCells>
  <pageMargins left="0.7" right="0.7" top="0.75" bottom="0.75" header="0.3" footer="0.3"/>
  <pageSetup paperSize="9" fitToHeight="0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CE28"/>
  <sheetViews>
    <sheetView zoomScale="90" zoomScaleNormal="90" workbookViewId="0">
      <pane xSplit="3" ySplit="4" topLeftCell="E5" activePane="bottomRight" state="frozen"/>
      <selection pane="topRight" activeCell="D1" sqref="D1"/>
      <selection pane="bottomLeft" activeCell="A5" sqref="A5"/>
      <selection pane="bottomRight" activeCell="C4" sqref="C1:C1048576"/>
    </sheetView>
  </sheetViews>
  <sheetFormatPr defaultColWidth="24.7109375" defaultRowHeight="15" x14ac:dyDescent="0.25"/>
  <cols>
    <col min="1" max="1" width="9.140625" style="199" customWidth="1"/>
    <col min="2" max="2" width="60.7109375" style="42" bestFit="1" customWidth="1"/>
    <col min="3" max="3" width="11.28515625" style="42" bestFit="1" customWidth="1"/>
    <col min="4" max="4" width="24.7109375" style="199" customWidth="1"/>
    <col min="5" max="7" width="24.7109375" style="199" hidden="1" customWidth="1"/>
    <col min="8" max="16384" width="24.7109375" style="199"/>
  </cols>
  <sheetData>
    <row r="1" spans="1:83" ht="15.75" x14ac:dyDescent="0.25">
      <c r="A1" s="368" t="s">
        <v>877</v>
      </c>
      <c r="B1" s="369"/>
      <c r="C1" s="370"/>
      <c r="D1" s="232" t="s">
        <v>881</v>
      </c>
      <c r="E1" s="232" t="s">
        <v>884</v>
      </c>
      <c r="F1" s="232" t="s">
        <v>881</v>
      </c>
      <c r="G1" s="232" t="s">
        <v>881</v>
      </c>
      <c r="H1" s="179" t="s">
        <v>881</v>
      </c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179"/>
      <c r="BO1" s="179"/>
      <c r="BP1" s="179"/>
      <c r="BQ1" s="179"/>
      <c r="BR1" s="179"/>
      <c r="BS1" s="179"/>
      <c r="BT1" s="179"/>
      <c r="BU1" s="179"/>
      <c r="BV1" s="179"/>
      <c r="BW1" s="179"/>
      <c r="BX1" s="179"/>
      <c r="BY1" s="179"/>
      <c r="BZ1" s="179"/>
      <c r="CA1" s="179"/>
      <c r="CB1" s="179"/>
      <c r="CC1" s="179"/>
      <c r="CD1" s="179"/>
      <c r="CE1" s="179"/>
    </row>
    <row r="2" spans="1:83" ht="15.75" x14ac:dyDescent="0.25">
      <c r="A2" s="371" t="s">
        <v>875</v>
      </c>
      <c r="B2" s="372"/>
      <c r="C2" s="373"/>
      <c r="D2" s="232" t="s">
        <v>879</v>
      </c>
      <c r="E2" s="232" t="s">
        <v>882</v>
      </c>
      <c r="F2" s="232" t="s">
        <v>885</v>
      </c>
      <c r="G2" s="232" t="s">
        <v>921</v>
      </c>
      <c r="H2" s="179" t="s">
        <v>921</v>
      </c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</row>
    <row r="3" spans="1:83" ht="16.5" thickBot="1" x14ac:dyDescent="0.3">
      <c r="A3" s="374" t="s">
        <v>876</v>
      </c>
      <c r="B3" s="375"/>
      <c r="C3" s="376"/>
      <c r="D3" s="232" t="s">
        <v>880</v>
      </c>
      <c r="E3" s="232" t="s">
        <v>883</v>
      </c>
      <c r="F3" s="232" t="s">
        <v>886</v>
      </c>
      <c r="G3" s="232" t="s">
        <v>922</v>
      </c>
      <c r="H3" s="179" t="s">
        <v>922</v>
      </c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179"/>
      <c r="BX3" s="179"/>
      <c r="BY3" s="179"/>
      <c r="BZ3" s="179"/>
      <c r="CA3" s="179"/>
      <c r="CB3" s="179"/>
      <c r="CC3" s="179"/>
      <c r="CD3" s="179"/>
      <c r="CE3" s="179"/>
    </row>
    <row r="4" spans="1:83" ht="16.5" thickBot="1" x14ac:dyDescent="0.3">
      <c r="A4" s="214" t="s">
        <v>878</v>
      </c>
      <c r="B4" s="228" t="s">
        <v>790</v>
      </c>
      <c r="C4" s="215" t="s">
        <v>0</v>
      </c>
      <c r="D4" s="212" t="s">
        <v>254</v>
      </c>
      <c r="E4" s="212" t="s">
        <v>254</v>
      </c>
      <c r="F4" s="212" t="s">
        <v>254</v>
      </c>
      <c r="G4" s="212" t="s">
        <v>254</v>
      </c>
      <c r="H4" s="212" t="s">
        <v>254</v>
      </c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212"/>
      <c r="W4" s="212"/>
      <c r="X4" s="212"/>
      <c r="Y4" s="212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  <c r="AK4" s="212"/>
      <c r="AL4" s="212"/>
      <c r="AM4" s="212"/>
      <c r="AN4" s="212"/>
      <c r="AO4" s="212"/>
      <c r="AP4" s="212"/>
      <c r="AQ4" s="212"/>
      <c r="AR4" s="212"/>
      <c r="AS4" s="212"/>
      <c r="AT4" s="212"/>
      <c r="AU4" s="212"/>
      <c r="AV4" s="212"/>
      <c r="AW4" s="212"/>
      <c r="AX4" s="212"/>
      <c r="AY4" s="212"/>
      <c r="AZ4" s="212"/>
      <c r="BA4" s="212"/>
      <c r="BB4" s="212"/>
      <c r="BC4" s="212"/>
      <c r="BD4" s="212"/>
      <c r="BE4" s="212"/>
      <c r="BF4" s="212"/>
      <c r="BG4" s="212"/>
      <c r="BH4" s="212"/>
      <c r="BI4" s="212"/>
      <c r="BJ4" s="212"/>
      <c r="BK4" s="212"/>
      <c r="BL4" s="212"/>
      <c r="BM4" s="212"/>
      <c r="BN4" s="212"/>
      <c r="BO4" s="212"/>
      <c r="BP4" s="212"/>
      <c r="BQ4" s="212"/>
      <c r="BR4" s="212"/>
      <c r="BS4" s="212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</row>
    <row r="5" spans="1:83" ht="15.75" x14ac:dyDescent="0.25">
      <c r="A5" s="219">
        <v>1</v>
      </c>
      <c r="B5" s="227" t="s">
        <v>248</v>
      </c>
      <c r="C5" s="216" t="s">
        <v>277</v>
      </c>
      <c r="D5" s="233">
        <v>267.76159999999999</v>
      </c>
      <c r="E5" s="233">
        <v>159.83920000000001</v>
      </c>
      <c r="F5" s="242">
        <v>267.56938775510213</v>
      </c>
      <c r="G5" s="242">
        <v>269.64594594594593</v>
      </c>
      <c r="H5" s="180">
        <v>269.64594594594593</v>
      </c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79"/>
      <c r="W5" s="179"/>
      <c r="X5" s="179"/>
      <c r="Y5" s="179"/>
      <c r="Z5" s="179"/>
      <c r="AA5" s="179"/>
      <c r="AB5" s="179"/>
      <c r="AC5" s="179"/>
      <c r="AD5" s="179"/>
      <c r="AE5" s="179"/>
      <c r="AF5" s="179"/>
      <c r="AG5" s="179"/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  <c r="BC5" s="179"/>
      <c r="BD5" s="179"/>
      <c r="BE5" s="179"/>
      <c r="BF5" s="179"/>
      <c r="BG5" s="179"/>
      <c r="BH5" s="179"/>
      <c r="BI5" s="179"/>
      <c r="BJ5" s="179"/>
      <c r="BK5" s="179"/>
      <c r="BL5" s="179"/>
      <c r="BM5" s="179"/>
      <c r="BN5" s="179"/>
      <c r="BO5" s="179"/>
      <c r="BP5" s="179"/>
      <c r="BQ5" s="179"/>
      <c r="BR5" s="179"/>
      <c r="BS5" s="179"/>
      <c r="BT5" s="179"/>
      <c r="BU5" s="179"/>
      <c r="BV5" s="179"/>
      <c r="BW5" s="179"/>
      <c r="BX5" s="179"/>
      <c r="BY5" s="179"/>
      <c r="BZ5" s="179"/>
      <c r="CA5" s="179"/>
      <c r="CB5" s="179"/>
      <c r="CC5" s="179"/>
      <c r="CD5" s="179"/>
      <c r="CE5" s="179"/>
    </row>
    <row r="6" spans="1:83" ht="15.75" x14ac:dyDescent="0.25">
      <c r="A6" s="229">
        <v>2</v>
      </c>
      <c r="B6" s="220" t="s">
        <v>793</v>
      </c>
      <c r="C6" s="217" t="s">
        <v>270</v>
      </c>
      <c r="D6" s="233">
        <v>789.86160000000007</v>
      </c>
      <c r="E6" s="233">
        <v>479.88039999999984</v>
      </c>
      <c r="F6" s="242">
        <v>791.79755102040804</v>
      </c>
      <c r="G6" s="242">
        <v>795.88054054054066</v>
      </c>
      <c r="H6" s="180">
        <v>795.88054054054066</v>
      </c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  <c r="BC6" s="179"/>
      <c r="BD6" s="179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79"/>
      <c r="BZ6" s="179"/>
      <c r="CA6" s="179"/>
      <c r="CB6" s="179"/>
      <c r="CC6" s="179"/>
      <c r="CD6" s="179"/>
      <c r="CE6" s="179"/>
    </row>
    <row r="7" spans="1:83" ht="15.75" x14ac:dyDescent="0.25">
      <c r="A7" s="229">
        <v>3</v>
      </c>
      <c r="B7" s="220" t="s">
        <v>795</v>
      </c>
      <c r="C7" s="217" t="s">
        <v>270</v>
      </c>
      <c r="D7" s="233">
        <v>724.88359999999989</v>
      </c>
      <c r="E7" s="233">
        <v>440.52600000000001</v>
      </c>
      <c r="F7" s="242">
        <v>754.78959183673476</v>
      </c>
      <c r="G7" s="242">
        <v>740.6443243243242</v>
      </c>
      <c r="H7" s="180">
        <v>740.6443243243242</v>
      </c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179"/>
      <c r="Z7" s="179"/>
      <c r="AA7" s="179"/>
      <c r="AB7" s="179"/>
      <c r="AC7" s="179"/>
      <c r="AD7" s="179"/>
      <c r="AE7" s="179"/>
      <c r="AF7" s="179"/>
      <c r="AG7" s="179"/>
      <c r="AH7" s="179"/>
      <c r="AI7" s="179"/>
      <c r="AJ7" s="179"/>
      <c r="AK7" s="179"/>
      <c r="AL7" s="179"/>
      <c r="AM7" s="179"/>
      <c r="AN7" s="179"/>
      <c r="AO7" s="179"/>
      <c r="AP7" s="179"/>
      <c r="AQ7" s="179"/>
      <c r="AR7" s="179"/>
      <c r="AS7" s="179"/>
      <c r="AT7" s="179"/>
      <c r="AU7" s="179"/>
      <c r="AV7" s="179"/>
      <c r="AW7" s="179"/>
      <c r="AX7" s="179"/>
      <c r="AY7" s="179"/>
      <c r="AZ7" s="179"/>
      <c r="BA7" s="179"/>
      <c r="BB7" s="179"/>
      <c r="BC7" s="179"/>
      <c r="BD7" s="179"/>
      <c r="BE7" s="179"/>
      <c r="BF7" s="179"/>
      <c r="BG7" s="179"/>
      <c r="BH7" s="179"/>
      <c r="BI7" s="179"/>
      <c r="BJ7" s="179"/>
      <c r="BK7" s="179"/>
      <c r="BL7" s="179"/>
      <c r="BM7" s="179"/>
      <c r="BN7" s="179"/>
      <c r="BO7" s="179"/>
      <c r="BP7" s="179"/>
      <c r="BQ7" s="179"/>
      <c r="BR7" s="179"/>
      <c r="BS7" s="179"/>
      <c r="BT7" s="179"/>
      <c r="BU7" s="179"/>
      <c r="BV7" s="179"/>
      <c r="BW7" s="179"/>
      <c r="BX7" s="179"/>
      <c r="BY7" s="179"/>
      <c r="BZ7" s="179"/>
      <c r="CA7" s="179"/>
      <c r="CB7" s="179"/>
      <c r="CC7" s="179"/>
      <c r="CD7" s="179"/>
      <c r="CE7" s="179"/>
    </row>
    <row r="8" spans="1:83" ht="15.75" x14ac:dyDescent="0.25">
      <c r="A8" s="229">
        <v>4</v>
      </c>
      <c r="B8" s="220" t="s">
        <v>797</v>
      </c>
      <c r="C8" s="217" t="s">
        <v>270</v>
      </c>
      <c r="D8" s="233">
        <v>158.9864</v>
      </c>
      <c r="E8" s="233">
        <v>120.15119999999997</v>
      </c>
      <c r="F8" s="242">
        <v>151.41979591836733</v>
      </c>
      <c r="G8" s="242">
        <v>165.33999999999995</v>
      </c>
      <c r="H8" s="180">
        <v>165.33999999999995</v>
      </c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79"/>
      <c r="Y8" s="179"/>
      <c r="Z8" s="179"/>
      <c r="AA8" s="179"/>
      <c r="AB8" s="179"/>
      <c r="AC8" s="179"/>
      <c r="AD8" s="179"/>
      <c r="AE8" s="179"/>
      <c r="AF8" s="179"/>
      <c r="AG8" s="179"/>
      <c r="AH8" s="179"/>
      <c r="AI8" s="179"/>
      <c r="AJ8" s="179"/>
      <c r="AK8" s="179"/>
      <c r="AL8" s="179"/>
      <c r="AM8" s="179"/>
      <c r="AN8" s="179"/>
      <c r="AO8" s="179"/>
      <c r="AP8" s="179"/>
      <c r="AQ8" s="179"/>
      <c r="AR8" s="179"/>
      <c r="AS8" s="179"/>
      <c r="AT8" s="179"/>
      <c r="AU8" s="179"/>
      <c r="AV8" s="179"/>
      <c r="AW8" s="179"/>
      <c r="AX8" s="179"/>
      <c r="AY8" s="179"/>
      <c r="AZ8" s="179"/>
      <c r="BA8" s="179"/>
      <c r="BB8" s="179"/>
      <c r="BC8" s="179"/>
      <c r="BD8" s="179"/>
      <c r="BE8" s="179"/>
      <c r="BF8" s="179"/>
      <c r="BG8" s="179"/>
      <c r="BH8" s="179"/>
      <c r="BI8" s="179"/>
      <c r="BJ8" s="179"/>
      <c r="BK8" s="179"/>
      <c r="BL8" s="179"/>
      <c r="BM8" s="179"/>
      <c r="BN8" s="179"/>
      <c r="BO8" s="179"/>
      <c r="BP8" s="179"/>
      <c r="BQ8" s="179"/>
      <c r="BR8" s="179"/>
      <c r="BS8" s="179"/>
      <c r="BT8" s="179"/>
      <c r="BU8" s="179"/>
      <c r="BV8" s="179"/>
      <c r="BW8" s="179"/>
      <c r="BX8" s="179"/>
      <c r="BY8" s="179"/>
      <c r="BZ8" s="179"/>
      <c r="CA8" s="179"/>
      <c r="CB8" s="179"/>
      <c r="CC8" s="179"/>
      <c r="CD8" s="179"/>
      <c r="CE8" s="179"/>
    </row>
    <row r="9" spans="1:83" ht="15.75" x14ac:dyDescent="0.25">
      <c r="A9" s="229">
        <v>5</v>
      </c>
      <c r="B9" s="220" t="s">
        <v>798</v>
      </c>
      <c r="C9" s="217" t="s">
        <v>270</v>
      </c>
      <c r="D9" s="233">
        <v>60.334399999999988</v>
      </c>
      <c r="E9" s="233">
        <v>42.264799999999994</v>
      </c>
      <c r="F9" s="242">
        <v>32.542448979591832</v>
      </c>
      <c r="G9" s="242">
        <v>53.869459459459463</v>
      </c>
      <c r="H9" s="180">
        <v>53.869459459459463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</row>
    <row r="10" spans="1:83" ht="15.75" x14ac:dyDescent="0.25">
      <c r="A10" s="229">
        <v>6</v>
      </c>
      <c r="B10" s="220" t="s">
        <v>799</v>
      </c>
      <c r="C10" s="217" t="s">
        <v>270</v>
      </c>
      <c r="D10" s="233">
        <v>12.364400000000003</v>
      </c>
      <c r="E10" s="233">
        <v>4.2051999999999978</v>
      </c>
      <c r="F10" s="242">
        <v>2.3514285714285692</v>
      </c>
      <c r="G10" s="242">
        <v>3.0337837837837847</v>
      </c>
      <c r="H10" s="180">
        <v>3.0337837837837847</v>
      </c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79"/>
      <c r="Y10" s="179"/>
      <c r="Z10" s="179"/>
      <c r="AA10" s="179"/>
      <c r="AB10" s="179"/>
      <c r="AC10" s="179"/>
      <c r="AD10" s="179"/>
      <c r="AE10" s="179"/>
      <c r="AF10" s="179"/>
      <c r="AG10" s="179"/>
      <c r="AH10" s="179"/>
      <c r="AI10" s="179"/>
      <c r="AJ10" s="179"/>
      <c r="AK10" s="179"/>
      <c r="AL10" s="179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BB10" s="179"/>
      <c r="BC10" s="179"/>
      <c r="BD10" s="179"/>
      <c r="BE10" s="179"/>
      <c r="BF10" s="179"/>
      <c r="BG10" s="179"/>
      <c r="BH10" s="179"/>
      <c r="BI10" s="179"/>
      <c r="BJ10" s="179"/>
      <c r="BK10" s="179"/>
      <c r="BL10" s="179"/>
      <c r="BM10" s="179"/>
      <c r="BN10" s="179"/>
      <c r="BO10" s="179"/>
      <c r="BP10" s="179"/>
      <c r="BQ10" s="179"/>
      <c r="BR10" s="179"/>
      <c r="BS10" s="179"/>
      <c r="BT10" s="179"/>
      <c r="BU10" s="179"/>
      <c r="BV10" s="179"/>
      <c r="BW10" s="179"/>
      <c r="BX10" s="179"/>
      <c r="BY10" s="179"/>
      <c r="BZ10" s="179"/>
      <c r="CA10" s="179"/>
      <c r="CB10" s="179"/>
      <c r="CC10" s="179"/>
      <c r="CD10" s="179"/>
      <c r="CE10" s="179"/>
    </row>
    <row r="11" spans="1:83" ht="15.75" x14ac:dyDescent="0.25">
      <c r="A11" s="229">
        <v>7</v>
      </c>
      <c r="B11" s="220" t="s">
        <v>801</v>
      </c>
      <c r="C11" s="217" t="s">
        <v>268</v>
      </c>
      <c r="D11" s="233">
        <v>539.02700000000004</v>
      </c>
      <c r="E11" s="233">
        <v>538.94159999999999</v>
      </c>
      <c r="F11" s="242">
        <v>538.90602040816339</v>
      </c>
      <c r="G11" s="242">
        <v>539.79729729729729</v>
      </c>
      <c r="H11" s="180">
        <v>539.79729729729729</v>
      </c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179"/>
      <c r="BJ11" s="179"/>
      <c r="BK11" s="179"/>
      <c r="BL11" s="179"/>
      <c r="BM11" s="179"/>
      <c r="BN11" s="179"/>
      <c r="BO11" s="179"/>
      <c r="BP11" s="179"/>
      <c r="BQ11" s="179"/>
      <c r="BR11" s="179"/>
      <c r="BS11" s="179"/>
      <c r="BT11" s="179"/>
      <c r="BU11" s="179"/>
      <c r="BV11" s="179"/>
      <c r="BW11" s="179"/>
      <c r="BX11" s="179"/>
      <c r="BY11" s="179"/>
      <c r="BZ11" s="179"/>
      <c r="CA11" s="179"/>
      <c r="CB11" s="179"/>
      <c r="CC11" s="179"/>
      <c r="CD11" s="179"/>
      <c r="CE11" s="179"/>
    </row>
    <row r="12" spans="1:83" ht="15.75" x14ac:dyDescent="0.25">
      <c r="A12" s="229">
        <v>8</v>
      </c>
      <c r="B12" s="220" t="s">
        <v>802</v>
      </c>
      <c r="C12" s="217" t="s">
        <v>342</v>
      </c>
      <c r="D12" s="233">
        <v>142.0688318</v>
      </c>
      <c r="E12" s="233">
        <v>148.59836780000001</v>
      </c>
      <c r="F12" s="242">
        <v>142.86109540816324</v>
      </c>
      <c r="G12" s="242">
        <v>142.80581202702703</v>
      </c>
      <c r="H12" s="180">
        <v>142.80581202702703</v>
      </c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</row>
    <row r="13" spans="1:83" ht="15.75" x14ac:dyDescent="0.25">
      <c r="A13" s="229">
        <v>9</v>
      </c>
      <c r="B13" s="220" t="s">
        <v>803</v>
      </c>
      <c r="C13" s="217" t="s">
        <v>268</v>
      </c>
      <c r="D13" s="233">
        <v>537.53160000000003</v>
      </c>
      <c r="E13" s="233">
        <v>537.53160000000003</v>
      </c>
      <c r="F13" s="242">
        <v>537.53160000000003</v>
      </c>
      <c r="G13" s="242">
        <v>537.53160000000003</v>
      </c>
      <c r="H13" s="180">
        <v>537.53160000000003</v>
      </c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179"/>
      <c r="Z13" s="179"/>
      <c r="AA13" s="179"/>
      <c r="AB13" s="179"/>
      <c r="AC13" s="179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  <c r="BP13" s="179"/>
      <c r="BQ13" s="179"/>
      <c r="BR13" s="179"/>
      <c r="BS13" s="179"/>
      <c r="BT13" s="179"/>
      <c r="BU13" s="179"/>
      <c r="BV13" s="179"/>
      <c r="BW13" s="179"/>
      <c r="BX13" s="179"/>
      <c r="BY13" s="179"/>
      <c r="BZ13" s="179"/>
      <c r="CA13" s="179"/>
      <c r="CB13" s="179"/>
      <c r="CC13" s="179"/>
      <c r="CD13" s="179"/>
      <c r="CE13" s="179"/>
    </row>
    <row r="14" spans="1:83" ht="15.75" x14ac:dyDescent="0.25">
      <c r="A14" s="229">
        <v>10</v>
      </c>
      <c r="B14" s="220" t="s">
        <v>805</v>
      </c>
      <c r="C14" s="217" t="s">
        <v>342</v>
      </c>
      <c r="D14" s="233">
        <v>30.906228200000005</v>
      </c>
      <c r="E14" s="233">
        <v>22.1749358</v>
      </c>
      <c r="F14" s="242">
        <v>30.696358265306106</v>
      </c>
      <c r="G14" s="242">
        <v>30.482770270270276</v>
      </c>
      <c r="H14" s="180">
        <v>30.482770270270276</v>
      </c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79"/>
      <c r="W14" s="179"/>
      <c r="X14" s="179"/>
      <c r="Y14" s="179"/>
      <c r="Z14" s="179"/>
      <c r="AA14" s="179"/>
      <c r="AB14" s="179"/>
      <c r="AC14" s="179"/>
      <c r="AD14" s="179"/>
      <c r="AE14" s="179"/>
      <c r="AF14" s="179"/>
      <c r="AG14" s="179"/>
      <c r="AH14" s="179"/>
      <c r="AI14" s="179"/>
      <c r="AJ14" s="179"/>
      <c r="AK14" s="179"/>
      <c r="AL14" s="179"/>
      <c r="AM14" s="179"/>
      <c r="AN14" s="179"/>
      <c r="AO14" s="179"/>
      <c r="AP14" s="179"/>
      <c r="AQ14" s="179"/>
      <c r="AR14" s="179"/>
      <c r="AS14" s="179"/>
      <c r="AT14" s="179"/>
      <c r="AU14" s="179"/>
      <c r="AV14" s="179"/>
      <c r="AW14" s="179"/>
      <c r="AX14" s="179"/>
      <c r="AY14" s="179"/>
      <c r="AZ14" s="179"/>
      <c r="BA14" s="179"/>
      <c r="BB14" s="179"/>
      <c r="BC14" s="179"/>
      <c r="BD14" s="179"/>
      <c r="BE14" s="179"/>
      <c r="BF14" s="179"/>
      <c r="BG14" s="179"/>
      <c r="BH14" s="179"/>
      <c r="BI14" s="179"/>
      <c r="BJ14" s="179"/>
      <c r="BK14" s="179"/>
      <c r="BL14" s="179"/>
      <c r="BM14" s="179"/>
      <c r="BN14" s="179"/>
      <c r="BO14" s="179"/>
      <c r="BP14" s="179"/>
      <c r="BQ14" s="179"/>
      <c r="BR14" s="179"/>
      <c r="BS14" s="179"/>
      <c r="BT14" s="179"/>
      <c r="BU14" s="179"/>
      <c r="BV14" s="179"/>
      <c r="BW14" s="179"/>
      <c r="BX14" s="179"/>
      <c r="BY14" s="179"/>
      <c r="BZ14" s="179"/>
      <c r="CA14" s="179"/>
      <c r="CB14" s="179"/>
      <c r="CC14" s="179"/>
      <c r="CD14" s="179"/>
      <c r="CE14" s="179"/>
    </row>
    <row r="15" spans="1:83" ht="15.75" x14ac:dyDescent="0.25">
      <c r="A15" s="229">
        <v>11</v>
      </c>
      <c r="B15" s="220" t="s">
        <v>807</v>
      </c>
      <c r="C15" s="217" t="s">
        <v>268</v>
      </c>
      <c r="D15" s="233">
        <v>341.38400000000001</v>
      </c>
      <c r="E15" s="233">
        <v>330.22080000000011</v>
      </c>
      <c r="F15" s="242">
        <v>340.14204081632653</v>
      </c>
      <c r="G15" s="242">
        <v>340.89702702702692</v>
      </c>
      <c r="H15" s="180">
        <v>340.89702702702692</v>
      </c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179"/>
      <c r="Z15" s="179"/>
      <c r="AA15" s="179"/>
      <c r="AB15" s="179"/>
      <c r="AC15" s="179"/>
      <c r="AD15" s="179"/>
      <c r="AE15" s="179"/>
      <c r="AF15" s="179"/>
      <c r="AG15" s="179"/>
      <c r="AH15" s="179"/>
      <c r="AI15" s="179"/>
      <c r="AJ15" s="179"/>
      <c r="AK15" s="179"/>
      <c r="AL15" s="179"/>
      <c r="AM15" s="179"/>
      <c r="AN15" s="179"/>
      <c r="AO15" s="179"/>
      <c r="AP15" s="179"/>
      <c r="AQ15" s="179"/>
      <c r="AR15" s="179"/>
      <c r="AS15" s="179"/>
      <c r="AT15" s="179"/>
      <c r="AU15" s="179"/>
      <c r="AV15" s="179"/>
      <c r="AW15" s="179"/>
      <c r="AX15" s="179"/>
      <c r="AY15" s="179"/>
      <c r="AZ15" s="179"/>
      <c r="BA15" s="179"/>
      <c r="BB15" s="179"/>
      <c r="BC15" s="179"/>
      <c r="BD15" s="179"/>
      <c r="BE15" s="179"/>
      <c r="BF15" s="179"/>
      <c r="BG15" s="179"/>
      <c r="BH15" s="179"/>
      <c r="BI15" s="179"/>
      <c r="BJ15" s="179"/>
      <c r="BK15" s="179"/>
      <c r="BL15" s="179"/>
      <c r="BM15" s="179"/>
      <c r="BN15" s="179"/>
      <c r="BO15" s="179"/>
      <c r="BP15" s="179"/>
      <c r="BQ15" s="179"/>
      <c r="BR15" s="179"/>
      <c r="BS15" s="179"/>
      <c r="BT15" s="179"/>
      <c r="BU15" s="179"/>
      <c r="BV15" s="179"/>
      <c r="BW15" s="179"/>
      <c r="BX15" s="179"/>
      <c r="BY15" s="179"/>
      <c r="BZ15" s="179"/>
      <c r="CA15" s="179"/>
      <c r="CB15" s="179"/>
      <c r="CC15" s="179"/>
      <c r="CD15" s="179"/>
      <c r="CE15" s="179"/>
    </row>
    <row r="16" spans="1:83" ht="15.75" x14ac:dyDescent="0.25">
      <c r="A16" s="229">
        <v>12</v>
      </c>
      <c r="B16" s="220" t="s">
        <v>809</v>
      </c>
      <c r="C16" s="217" t="s">
        <v>342</v>
      </c>
      <c r="D16" s="233">
        <v>37.733007199999989</v>
      </c>
      <c r="E16" s="233">
        <v>23.137689199999997</v>
      </c>
      <c r="F16" s="242">
        <v>37.58127653061225</v>
      </c>
      <c r="G16" s="242">
        <v>37.847428918918894</v>
      </c>
      <c r="H16" s="180">
        <v>37.847428918918894</v>
      </c>
      <c r="I16" s="179"/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  <c r="BP16" s="179"/>
      <c r="BQ16" s="179"/>
      <c r="BR16" s="179"/>
      <c r="BS16" s="179"/>
      <c r="BT16" s="179"/>
      <c r="BU16" s="179"/>
      <c r="BV16" s="179"/>
      <c r="BW16" s="179"/>
      <c r="BX16" s="179"/>
      <c r="BY16" s="179"/>
      <c r="BZ16" s="179"/>
      <c r="CA16" s="179"/>
      <c r="CB16" s="179"/>
      <c r="CC16" s="179"/>
      <c r="CD16" s="179"/>
      <c r="CE16" s="179"/>
    </row>
    <row r="17" spans="1:83" ht="15.75" x14ac:dyDescent="0.25">
      <c r="A17" s="229">
        <v>13</v>
      </c>
      <c r="B17" s="220" t="s">
        <v>810</v>
      </c>
      <c r="C17" s="217" t="s">
        <v>811</v>
      </c>
      <c r="D17" s="233">
        <v>58.550576000000021</v>
      </c>
      <c r="E17" s="233">
        <v>29.422400000000003</v>
      </c>
      <c r="F17" s="242">
        <v>56.142742857142814</v>
      </c>
      <c r="G17" s="242">
        <v>51.48919999999999</v>
      </c>
      <c r="H17" s="180">
        <v>51.48919999999999</v>
      </c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179"/>
      <c r="AR17" s="179"/>
      <c r="AS17" s="179"/>
      <c r="AT17" s="179"/>
      <c r="AU17" s="179"/>
      <c r="AV17" s="179"/>
      <c r="AW17" s="179"/>
      <c r="AX17" s="179"/>
      <c r="AY17" s="179"/>
      <c r="AZ17" s="179"/>
      <c r="BA17" s="179"/>
      <c r="BB17" s="179"/>
      <c r="BC17" s="179"/>
      <c r="BD17" s="179"/>
      <c r="BE17" s="179"/>
      <c r="BF17" s="179"/>
      <c r="BG17" s="179"/>
      <c r="BH17" s="179"/>
      <c r="BI17" s="179"/>
      <c r="BJ17" s="179"/>
      <c r="BK17" s="179"/>
      <c r="BL17" s="179"/>
      <c r="BM17" s="179"/>
      <c r="BN17" s="179"/>
      <c r="BO17" s="179"/>
      <c r="BP17" s="179"/>
      <c r="BQ17" s="179"/>
      <c r="BR17" s="179"/>
      <c r="BS17" s="179"/>
      <c r="BT17" s="179"/>
      <c r="BU17" s="179"/>
      <c r="BV17" s="179"/>
      <c r="BW17" s="179"/>
      <c r="BX17" s="179"/>
      <c r="BY17" s="179"/>
      <c r="BZ17" s="179"/>
      <c r="CA17" s="179"/>
      <c r="CB17" s="179"/>
      <c r="CC17" s="179"/>
      <c r="CD17" s="179"/>
      <c r="CE17" s="179"/>
    </row>
    <row r="18" spans="1:83" ht="15.75" x14ac:dyDescent="0.25">
      <c r="A18" s="229">
        <v>14</v>
      </c>
      <c r="B18" s="220" t="s">
        <v>340</v>
      </c>
      <c r="C18" s="217" t="s">
        <v>268</v>
      </c>
      <c r="D18" s="234">
        <v>247.21039999999991</v>
      </c>
      <c r="E18" s="234">
        <v>222.89080000000001</v>
      </c>
      <c r="F18" s="243">
        <v>246.87183673469386</v>
      </c>
      <c r="G18" s="243">
        <v>246.97675675675674</v>
      </c>
      <c r="H18" s="180">
        <v>246.97675675675674</v>
      </c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179"/>
      <c r="AB18" s="179"/>
      <c r="AC18" s="179"/>
      <c r="AD18" s="179"/>
      <c r="AE18" s="179"/>
      <c r="AF18" s="179"/>
      <c r="AG18" s="179"/>
      <c r="AH18" s="179"/>
      <c r="AI18" s="179"/>
      <c r="AJ18" s="179"/>
      <c r="AK18" s="179"/>
      <c r="AL18" s="179"/>
      <c r="AM18" s="179"/>
      <c r="AN18" s="179"/>
      <c r="AO18" s="179"/>
      <c r="AP18" s="179"/>
      <c r="AQ18" s="179"/>
      <c r="AR18" s="179"/>
      <c r="AS18" s="179"/>
      <c r="AT18" s="179"/>
      <c r="AU18" s="179"/>
      <c r="AV18" s="179"/>
      <c r="AW18" s="179"/>
      <c r="AX18" s="179"/>
      <c r="AY18" s="179"/>
      <c r="AZ18" s="179"/>
      <c r="BA18" s="179"/>
      <c r="BB18" s="179"/>
      <c r="BC18" s="179"/>
      <c r="BD18" s="179"/>
      <c r="BE18" s="179"/>
      <c r="BF18" s="179"/>
      <c r="BG18" s="179"/>
      <c r="BH18" s="179"/>
      <c r="BI18" s="179"/>
      <c r="BJ18" s="179"/>
      <c r="BK18" s="179"/>
      <c r="BL18" s="179"/>
      <c r="BM18" s="179"/>
      <c r="BN18" s="179"/>
      <c r="BO18" s="179"/>
      <c r="BP18" s="179"/>
      <c r="BQ18" s="179"/>
      <c r="BR18" s="179"/>
      <c r="BS18" s="179"/>
      <c r="BT18" s="179"/>
      <c r="BU18" s="179"/>
      <c r="BV18" s="179"/>
      <c r="BW18" s="179"/>
      <c r="BX18" s="179"/>
      <c r="BY18" s="179"/>
      <c r="BZ18" s="179"/>
      <c r="CA18" s="179"/>
      <c r="CB18" s="179"/>
      <c r="CC18" s="179"/>
      <c r="CD18" s="179"/>
      <c r="CE18" s="179"/>
    </row>
    <row r="19" spans="1:83" ht="15.75" x14ac:dyDescent="0.25">
      <c r="A19" s="229">
        <v>15</v>
      </c>
      <c r="B19" s="220" t="s">
        <v>341</v>
      </c>
      <c r="C19" s="217" t="s">
        <v>342</v>
      </c>
      <c r="D19" s="234">
        <v>170.053</v>
      </c>
      <c r="E19" s="234">
        <v>170.053</v>
      </c>
      <c r="F19" s="243">
        <v>170.053</v>
      </c>
      <c r="G19" s="243">
        <v>170.053</v>
      </c>
      <c r="H19" s="180">
        <v>170.053</v>
      </c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179"/>
      <c r="AA19" s="179"/>
      <c r="AB19" s="179"/>
      <c r="AC19" s="179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</row>
    <row r="20" spans="1:83" ht="16.5" thickBot="1" x14ac:dyDescent="0.3">
      <c r="A20" s="230">
        <v>16</v>
      </c>
      <c r="B20" s="221" t="s">
        <v>816</v>
      </c>
      <c r="C20" s="231" t="s">
        <v>270</v>
      </c>
      <c r="D20" s="235">
        <v>717.02655220264921</v>
      </c>
      <c r="E20" s="235">
        <v>438.37696149891303</v>
      </c>
      <c r="F20" s="244">
        <v>716.60330906478123</v>
      </c>
      <c r="G20" s="244">
        <v>721.66122617695282</v>
      </c>
      <c r="H20" s="249">
        <v>721.66122617695282</v>
      </c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/>
      <c r="AE20" s="238"/>
      <c r="AF20" s="238"/>
      <c r="AG20" s="238"/>
      <c r="AH20" s="238"/>
      <c r="AI20" s="238"/>
      <c r="AJ20" s="238"/>
      <c r="AK20" s="238"/>
      <c r="AL20" s="238"/>
      <c r="AM20" s="238"/>
      <c r="AN20" s="238"/>
      <c r="AO20" s="238"/>
      <c r="AP20" s="238"/>
      <c r="AQ20" s="238"/>
      <c r="AR20" s="238"/>
      <c r="AS20" s="238"/>
      <c r="AT20" s="238"/>
      <c r="AU20" s="238"/>
      <c r="AV20" s="238"/>
      <c r="AW20" s="238"/>
      <c r="AX20" s="238"/>
      <c r="AY20" s="238"/>
      <c r="AZ20" s="238"/>
      <c r="BA20" s="238"/>
      <c r="BB20" s="238"/>
      <c r="BC20" s="238"/>
      <c r="BD20" s="238"/>
      <c r="BE20" s="238"/>
      <c r="BF20" s="238"/>
      <c r="BG20" s="238"/>
      <c r="BH20" s="238"/>
      <c r="BI20" s="238"/>
      <c r="BJ20" s="238"/>
      <c r="BK20" s="238"/>
      <c r="BL20" s="238"/>
      <c r="BM20" s="238"/>
      <c r="BN20" s="238"/>
      <c r="BO20" s="238"/>
      <c r="BP20" s="238"/>
      <c r="BQ20" s="238"/>
      <c r="BR20" s="238"/>
      <c r="BS20" s="238"/>
      <c r="BT20" s="238"/>
      <c r="BU20" s="238"/>
      <c r="BV20" s="238"/>
      <c r="BW20" s="238"/>
      <c r="BX20" s="238"/>
      <c r="BY20" s="238"/>
      <c r="BZ20" s="238"/>
      <c r="CA20" s="238"/>
      <c r="CB20" s="238"/>
      <c r="CC20" s="238"/>
      <c r="CD20" s="238"/>
      <c r="CE20" s="238"/>
    </row>
    <row r="21" spans="1:83" ht="15.75" x14ac:dyDescent="0.25">
      <c r="A21" s="222">
        <v>17</v>
      </c>
      <c r="B21" s="223" t="s">
        <v>812</v>
      </c>
      <c r="C21" s="218" t="s">
        <v>813</v>
      </c>
      <c r="D21" s="236">
        <v>1978.4805598658968</v>
      </c>
      <c r="E21" s="236">
        <v>2098.6285220737795</v>
      </c>
      <c r="F21" s="245">
        <v>1965.0608536349664</v>
      </c>
      <c r="G21" s="245">
        <v>1964.2817728786026</v>
      </c>
      <c r="H21" s="250">
        <v>1962.0240521407623</v>
      </c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39"/>
      <c r="AB21" s="239"/>
      <c r="AC21" s="239"/>
      <c r="AD21" s="239"/>
      <c r="AE21" s="239"/>
      <c r="AF21" s="239"/>
      <c r="AG21" s="239"/>
      <c r="AH21" s="239"/>
      <c r="AI21" s="239"/>
      <c r="AJ21" s="239"/>
      <c r="AK21" s="239"/>
      <c r="AL21" s="239"/>
      <c r="AM21" s="239"/>
      <c r="AN21" s="239"/>
      <c r="AO21" s="239"/>
      <c r="AP21" s="239"/>
      <c r="AQ21" s="239"/>
      <c r="AR21" s="239"/>
      <c r="AS21" s="239"/>
      <c r="AT21" s="239"/>
      <c r="AU21" s="239"/>
      <c r="AV21" s="239"/>
      <c r="AW21" s="239"/>
      <c r="AX21" s="239"/>
      <c r="AY21" s="239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39"/>
      <c r="CB21" s="239"/>
      <c r="CC21" s="239"/>
      <c r="CD21" s="239"/>
      <c r="CE21" s="239"/>
    </row>
    <row r="22" spans="1:83" ht="15.75" x14ac:dyDescent="0.25">
      <c r="A22" s="224">
        <v>18</v>
      </c>
      <c r="B22" s="171" t="s">
        <v>814</v>
      </c>
      <c r="C22" s="251" t="s">
        <v>1</v>
      </c>
      <c r="D22" s="232">
        <v>82.489061192158132</v>
      </c>
      <c r="E22" s="232">
        <v>84.43159051032768</v>
      </c>
      <c r="F22" s="246">
        <v>86.226106240847869</v>
      </c>
      <c r="G22" s="246">
        <v>85.544013950628468</v>
      </c>
      <c r="H22" s="180">
        <v>85.925794462359718</v>
      </c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  <c r="Z22" s="179"/>
      <c r="AA22" s="179"/>
      <c r="AB22" s="179"/>
      <c r="AC22" s="179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79"/>
      <c r="AY22" s="179"/>
      <c r="AZ22" s="179"/>
      <c r="BA22" s="179"/>
      <c r="BB22" s="179"/>
      <c r="BC22" s="179"/>
      <c r="BD22" s="179"/>
      <c r="BE22" s="179"/>
      <c r="BF22" s="179"/>
      <c r="BG22" s="179"/>
      <c r="BH22" s="179"/>
      <c r="BI22" s="179"/>
      <c r="BJ22" s="179"/>
      <c r="BK22" s="179"/>
      <c r="BL22" s="179"/>
      <c r="BM22" s="179"/>
      <c r="BN22" s="179"/>
      <c r="BO22" s="179"/>
      <c r="BP22" s="179"/>
      <c r="BQ22" s="179"/>
      <c r="BR22" s="179"/>
      <c r="BS22" s="179"/>
      <c r="BT22" s="179"/>
      <c r="BU22" s="179"/>
      <c r="BV22" s="179"/>
      <c r="BW22" s="179"/>
      <c r="BX22" s="179"/>
      <c r="BY22" s="179"/>
      <c r="BZ22" s="179"/>
      <c r="CA22" s="179"/>
      <c r="CB22" s="179"/>
      <c r="CC22" s="179"/>
      <c r="CD22" s="179"/>
      <c r="CE22" s="179"/>
    </row>
    <row r="23" spans="1:83" ht="16.5" thickBot="1" x14ac:dyDescent="0.3">
      <c r="A23" s="225">
        <v>19</v>
      </c>
      <c r="B23" s="226" t="s">
        <v>923</v>
      </c>
      <c r="C23" s="213" t="s">
        <v>813</v>
      </c>
      <c r="D23" s="237">
        <v>2398.4762722138748</v>
      </c>
      <c r="E23" s="237">
        <v>2485.5963382770519</v>
      </c>
      <c r="F23" s="247">
        <v>2278.9627634885114</v>
      </c>
      <c r="G23" s="247">
        <v>2296.2235253682193</v>
      </c>
      <c r="H23" s="248">
        <f>H21/H22*100+18.93</f>
        <v>2302.3235541908057</v>
      </c>
      <c r="I23" s="240"/>
      <c r="J23" s="240"/>
      <c r="K23" s="240"/>
      <c r="L23" s="240"/>
      <c r="M23" s="240"/>
      <c r="N23" s="240"/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/>
      <c r="AF23" s="240"/>
      <c r="AG23" s="240"/>
      <c r="AH23" s="240"/>
      <c r="AI23" s="240"/>
      <c r="AJ23" s="240"/>
      <c r="AK23" s="240"/>
      <c r="AL23" s="240"/>
      <c r="AM23" s="240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0"/>
      <c r="BT23" s="240"/>
      <c r="BU23" s="240"/>
      <c r="BV23" s="240"/>
      <c r="BW23" s="240"/>
      <c r="BX23" s="240"/>
      <c r="BY23" s="240"/>
      <c r="BZ23" s="240"/>
      <c r="CA23" s="240"/>
      <c r="CB23" s="240"/>
      <c r="CC23" s="240"/>
      <c r="CD23" s="240"/>
      <c r="CE23" s="240"/>
    </row>
    <row r="28" spans="1:83" ht="15.75" x14ac:dyDescent="0.25">
      <c r="H28" s="241"/>
    </row>
  </sheetData>
  <mergeCells count="3">
    <mergeCell ref="A1:C1"/>
    <mergeCell ref="A2:C2"/>
    <mergeCell ref="A3:C3"/>
  </mergeCells>
  <pageMargins left="0.7" right="0.7" top="0.75" bottom="0.75" header="0.3" footer="0.3"/>
  <pageSetup paperSize="9" scale="8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0"/>
  <sheetViews>
    <sheetView workbookViewId="0">
      <selection activeCell="F17" sqref="F17"/>
    </sheetView>
  </sheetViews>
  <sheetFormatPr defaultRowHeight="15" x14ac:dyDescent="0.25"/>
  <cols>
    <col min="1" max="1" width="24.140625" style="42" bestFit="1" customWidth="1"/>
    <col min="2" max="4" width="9.140625" style="42"/>
    <col min="5" max="5" width="26.85546875" style="42" customWidth="1"/>
    <col min="6" max="6" width="41.5703125" style="42" customWidth="1"/>
    <col min="7" max="16384" width="9.140625" style="42"/>
  </cols>
  <sheetData>
    <row r="1" spans="1:7" ht="15.75" thickBot="1" x14ac:dyDescent="0.3"/>
    <row r="2" spans="1:7" ht="31.5" customHeight="1" thickBot="1" x14ac:dyDescent="0.35">
      <c r="A2" s="354" t="s">
        <v>884</v>
      </c>
      <c r="B2" s="352"/>
      <c r="C2" s="354" t="s">
        <v>861</v>
      </c>
      <c r="D2" s="353"/>
      <c r="E2" s="47" t="s">
        <v>1476</v>
      </c>
      <c r="F2" s="193" t="s">
        <v>1503</v>
      </c>
      <c r="G2" s="46"/>
    </row>
    <row r="3" spans="1:7" ht="15.75" thickBot="1" x14ac:dyDescent="0.3">
      <c r="A3" s="377" t="s">
        <v>828</v>
      </c>
      <c r="B3" s="378"/>
      <c r="C3" s="378"/>
      <c r="D3" s="378"/>
      <c r="E3" s="378"/>
      <c r="F3" s="379"/>
    </row>
    <row r="4" spans="1:7" ht="30" customHeight="1" x14ac:dyDescent="0.25">
      <c r="A4" s="380" t="s">
        <v>829</v>
      </c>
      <c r="B4" s="381"/>
      <c r="C4" s="382" t="s">
        <v>830</v>
      </c>
      <c r="D4" s="382"/>
      <c r="E4" s="382"/>
      <c r="F4" s="382"/>
    </row>
    <row r="5" spans="1:7" ht="32.25" customHeight="1" x14ac:dyDescent="0.25">
      <c r="A5" s="177" t="s">
        <v>255</v>
      </c>
      <c r="B5" s="178">
        <f>Inputs!C4</f>
        <v>13.48</v>
      </c>
      <c r="C5" s="179" t="s">
        <v>831</v>
      </c>
      <c r="D5" s="180">
        <f>B8/(1-1.1*B6/100-B5/100)</f>
        <v>63.13569561301378</v>
      </c>
      <c r="E5" s="181" t="s">
        <v>832</v>
      </c>
      <c r="F5" s="182" t="s">
        <v>833</v>
      </c>
    </row>
    <row r="6" spans="1:7" ht="30" x14ac:dyDescent="0.25">
      <c r="A6" s="177" t="s">
        <v>256</v>
      </c>
      <c r="B6" s="178">
        <f>Inputs!C5</f>
        <v>41.443637497401788</v>
      </c>
      <c r="C6" s="179" t="s">
        <v>834</v>
      </c>
      <c r="D6" s="180">
        <f>100-D5</f>
        <v>36.86430438698622</v>
      </c>
      <c r="E6" s="181" t="s">
        <v>835</v>
      </c>
      <c r="F6" s="182" t="s">
        <v>836</v>
      </c>
    </row>
    <row r="7" spans="1:7" ht="30" x14ac:dyDescent="0.25">
      <c r="A7" s="177" t="s">
        <v>257</v>
      </c>
      <c r="B7" s="178">
        <f>Inputs!C6</f>
        <v>19.23366036167117</v>
      </c>
      <c r="C7" s="179" t="s">
        <v>837</v>
      </c>
      <c r="D7" s="180">
        <f>D5+0.9*(D6-14)</f>
        <v>83.713569561301384</v>
      </c>
      <c r="E7" s="181" t="s">
        <v>838</v>
      </c>
      <c r="F7" s="182" t="s">
        <v>839</v>
      </c>
    </row>
    <row r="8" spans="1:7" ht="30" x14ac:dyDescent="0.25">
      <c r="A8" s="177" t="s">
        <v>258</v>
      </c>
      <c r="B8" s="178">
        <f>Inputs!C7</f>
        <v>25.842702140927038</v>
      </c>
      <c r="C8" s="179" t="s">
        <v>840</v>
      </c>
      <c r="D8" s="180">
        <f>D6*(7.35/(D6+10)-0.013)</f>
        <v>5.302406185930117</v>
      </c>
      <c r="E8" s="181" t="s">
        <v>841</v>
      </c>
      <c r="F8" s="179" t="s">
        <v>842</v>
      </c>
    </row>
    <row r="9" spans="1:7" ht="30" x14ac:dyDescent="0.25">
      <c r="A9" s="177" t="s">
        <v>259</v>
      </c>
      <c r="B9" s="178">
        <f>Inputs!C8</f>
        <v>3110.2959883600083</v>
      </c>
      <c r="C9" s="179" t="s">
        <v>843</v>
      </c>
      <c r="D9" s="180">
        <f>2.1-0.012*D6</f>
        <v>1.6576283473561655</v>
      </c>
      <c r="E9" s="181" t="s">
        <v>844</v>
      </c>
      <c r="F9" s="182" t="s">
        <v>845</v>
      </c>
    </row>
    <row r="10" spans="1:7" ht="30" x14ac:dyDescent="0.25">
      <c r="C10" s="179" t="s">
        <v>846</v>
      </c>
      <c r="D10" s="180">
        <f>D7*((B7+B8)/(D6+D5))</f>
        <v>37.735032079316923</v>
      </c>
      <c r="E10" s="181" t="s">
        <v>847</v>
      </c>
      <c r="F10" s="182" t="s">
        <v>848</v>
      </c>
    </row>
    <row r="11" spans="1:7" ht="30" x14ac:dyDescent="0.25">
      <c r="A11" s="183"/>
      <c r="B11" s="183"/>
      <c r="C11" s="179" t="s">
        <v>849</v>
      </c>
      <c r="D11" s="180">
        <f>D8*((B7+B8)/(D6+D5))</f>
        <v>2.3901318337300514</v>
      </c>
      <c r="E11" s="181" t="s">
        <v>850</v>
      </c>
      <c r="F11" s="182" t="s">
        <v>851</v>
      </c>
    </row>
    <row r="12" spans="1:7" ht="30" x14ac:dyDescent="0.25">
      <c r="C12" s="179" t="s">
        <v>852</v>
      </c>
      <c r="D12" s="180">
        <f>D9*((B7+B8)/(D6+D5))</f>
        <v>0.747198562800093</v>
      </c>
      <c r="E12" s="181" t="s">
        <v>853</v>
      </c>
      <c r="F12" s="182" t="s">
        <v>854</v>
      </c>
    </row>
    <row r="13" spans="1:7" ht="30" x14ac:dyDescent="0.25">
      <c r="A13" s="184"/>
      <c r="C13" s="179" t="s">
        <v>855</v>
      </c>
      <c r="D13" s="185">
        <v>0.35</v>
      </c>
      <c r="E13" s="181" t="s">
        <v>856</v>
      </c>
      <c r="F13" s="182" t="s">
        <v>857</v>
      </c>
    </row>
    <row r="14" spans="1:7" x14ac:dyDescent="0.25">
      <c r="A14" s="184"/>
      <c r="C14" s="186" t="s">
        <v>858</v>
      </c>
      <c r="D14" s="180">
        <f>100-B5-B6-D10-D11-D12-D13</f>
        <v>3.8540000267511405</v>
      </c>
      <c r="E14" s="181" t="s">
        <v>859</v>
      </c>
      <c r="F14" s="182" t="s">
        <v>860</v>
      </c>
    </row>
    <row r="15" spans="1:7" x14ac:dyDescent="0.25">
      <c r="A15" s="184"/>
      <c r="E15" s="184"/>
      <c r="F15" s="187"/>
    </row>
    <row r="16" spans="1:7" x14ac:dyDescent="0.25">
      <c r="A16" s="184"/>
      <c r="E16" s="184"/>
      <c r="F16" s="187"/>
    </row>
    <row r="17" spans="1:8" x14ac:dyDescent="0.25">
      <c r="A17" s="184"/>
      <c r="E17" s="184"/>
      <c r="F17" s="187"/>
    </row>
    <row r="18" spans="1:8" x14ac:dyDescent="0.25">
      <c r="A18" s="184"/>
      <c r="E18" s="184"/>
      <c r="F18" s="187"/>
      <c r="H18" s="184"/>
    </row>
    <row r="19" spans="1:8" x14ac:dyDescent="0.25">
      <c r="A19" s="184"/>
      <c r="E19" s="184"/>
      <c r="F19" s="187"/>
    </row>
    <row r="20" spans="1:8" x14ac:dyDescent="0.25">
      <c r="A20" s="184"/>
      <c r="E20" s="184"/>
      <c r="F20" s="187"/>
    </row>
    <row r="21" spans="1:8" x14ac:dyDescent="0.25">
      <c r="A21" s="184"/>
      <c r="E21" s="184"/>
      <c r="F21" s="187"/>
    </row>
    <row r="22" spans="1:8" x14ac:dyDescent="0.25">
      <c r="A22" s="184"/>
      <c r="E22" s="184"/>
      <c r="F22" s="187"/>
    </row>
    <row r="23" spans="1:8" x14ac:dyDescent="0.25">
      <c r="A23" s="184"/>
      <c r="E23" s="184"/>
      <c r="F23" s="187"/>
    </row>
    <row r="24" spans="1:8" x14ac:dyDescent="0.25">
      <c r="A24" s="184"/>
      <c r="E24" s="184"/>
      <c r="F24" s="187"/>
    </row>
    <row r="25" spans="1:8" x14ac:dyDescent="0.25">
      <c r="A25" s="184"/>
      <c r="F25" s="187"/>
    </row>
    <row r="26" spans="1:8" x14ac:dyDescent="0.25">
      <c r="F26" s="187"/>
    </row>
    <row r="27" spans="1:8" x14ac:dyDescent="0.25">
      <c r="F27" s="184"/>
    </row>
    <row r="28" spans="1:8" x14ac:dyDescent="0.25">
      <c r="F28" s="184"/>
    </row>
    <row r="29" spans="1:8" x14ac:dyDescent="0.25">
      <c r="F29" s="184"/>
    </row>
    <row r="30" spans="1:8" x14ac:dyDescent="0.25">
      <c r="F30" s="184"/>
    </row>
  </sheetData>
  <mergeCells count="5">
    <mergeCell ref="A3:F3"/>
    <mergeCell ref="A4:B4"/>
    <mergeCell ref="C4:F4"/>
    <mergeCell ref="A2:B2"/>
    <mergeCell ref="C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Properties</vt:lpstr>
      <vt:lpstr>Functions</vt:lpstr>
      <vt:lpstr>DCS_ReportU1</vt:lpstr>
      <vt:lpstr>Inputs</vt:lpstr>
      <vt:lpstr>Boiler Efficiency</vt:lpstr>
      <vt:lpstr>Heat Rate</vt:lpstr>
      <vt:lpstr>SUMMARY</vt:lpstr>
      <vt:lpstr>SUMMARY (2)</vt:lpstr>
      <vt:lpstr>Conversion</vt:lpstr>
      <vt:lpstr>SUMMARY!Print_Area</vt:lpstr>
      <vt:lpstr>'SUMMARY (2)'!Print_Area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Bivash Chandra Ghosh</dc:creator>
  <cp:lastModifiedBy>Dushyant</cp:lastModifiedBy>
  <cp:lastPrinted>2022-10-08T12:15:29Z</cp:lastPrinted>
  <dcterms:created xsi:type="dcterms:W3CDTF">2017-07-03T09:57:21Z</dcterms:created>
  <dcterms:modified xsi:type="dcterms:W3CDTF">2022-10-08T12:15:34Z</dcterms:modified>
</cp:coreProperties>
</file>