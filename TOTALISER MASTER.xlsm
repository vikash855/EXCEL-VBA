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19200" windowHeight="11295"/>
  </bookViews>
  <sheets>
    <sheet name="TrendFormatWide.rpt" sheetId="1" r:id="rId1"/>
    <sheet name="Read" sheetId="8" r:id="rId2"/>
    <sheet name="Sheet1" sheetId="9" r:id="rId3"/>
    <sheet name="Outcomes" sheetId="13" r:id="rId4"/>
    <sheet name="raw data" sheetId="14" r:id="rId5"/>
    <sheet name="Design" sheetId="15" r:id="rId6"/>
    <sheet name="Summary FL-PL-0.8FL" sheetId="11" state="hidden" r:id="rId7"/>
    <sheet name="1 month data calc" sheetId="12" state="hidden" r:id="rId8"/>
  </sheets>
  <definedNames>
    <definedName name="_xlnm._FilterDatabase" localSheetId="1" hidden="1">Read!$A$1:$BN$1</definedName>
    <definedName name="_xlnm._FilterDatabase" localSheetId="0" hidden="1">TrendFormatWide.rpt!#REF!</definedName>
    <definedName name="PivotRange">OFFSET(#REF!,0,0,COUNTA(#REF!),7)</definedName>
  </definedNames>
  <calcPr calcId="145621"/>
</workbook>
</file>

<file path=xl/calcChain.xml><?xml version="1.0" encoding="utf-8"?>
<calcChain xmlns="http://schemas.openxmlformats.org/spreadsheetml/2006/main">
  <c r="J79" i="14" l="1"/>
  <c r="L79" i="14"/>
  <c r="M79" i="14"/>
  <c r="N79" i="14"/>
  <c r="O79" i="14"/>
  <c r="P79" i="14"/>
  <c r="Q79" i="14"/>
  <c r="R79" i="14"/>
  <c r="S79" i="14"/>
  <c r="T79" i="14"/>
  <c r="K79" i="14"/>
  <c r="J27" i="14"/>
  <c r="N27" i="14"/>
  <c r="O27" i="14"/>
  <c r="P27" i="14"/>
  <c r="Q27" i="14"/>
  <c r="R27" i="14"/>
  <c r="S27" i="14"/>
  <c r="T27" i="14"/>
  <c r="U27" i="14"/>
  <c r="K27" i="14"/>
  <c r="L27" i="14"/>
  <c r="M27" i="14"/>
  <c r="AU27" i="8"/>
  <c r="G27" i="14"/>
  <c r="F27" i="14"/>
  <c r="F7" i="15"/>
  <c r="F6" i="15"/>
  <c r="F5" i="15"/>
  <c r="E5" i="15"/>
  <c r="E6" i="15"/>
  <c r="E7" i="15"/>
  <c r="F8" i="15" l="1"/>
  <c r="F4" i="15"/>
  <c r="F3" i="15"/>
  <c r="F2" i="15"/>
  <c r="H15" i="12" l="1"/>
  <c r="D15" i="12"/>
  <c r="C15" i="12"/>
  <c r="B15" i="12"/>
  <c r="G14" i="12"/>
  <c r="G15" i="12" s="1"/>
  <c r="F14" i="12"/>
  <c r="F15" i="12" s="1"/>
  <c r="E14" i="12"/>
  <c r="E15" i="12" s="1"/>
  <c r="E3" i="12"/>
</calcChain>
</file>

<file path=xl/comments1.xml><?xml version="1.0" encoding="utf-8"?>
<comments xmlns="http://schemas.openxmlformats.org/spreadsheetml/2006/main">
  <authors>
    <author>Sangeet Sarkar</author>
  </authors>
  <commentList>
    <comment ref="F5" authorId="0">
      <text>
        <r>
          <rPr>
            <b/>
            <sz val="9"/>
            <color indexed="81"/>
            <rFont val="Tahoma"/>
            <family val="2"/>
          </rPr>
          <t>Sangeet Sarkar:</t>
        </r>
        <r>
          <rPr>
            <sz val="9"/>
            <color indexed="81"/>
            <rFont val="Tahoma"/>
            <family val="2"/>
          </rPr>
          <t xml:space="preserve">
Density of air=1.048
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Sangeet Sarkar:</t>
        </r>
        <r>
          <rPr>
            <sz val="9"/>
            <color indexed="81"/>
            <rFont val="Tahoma"/>
            <family val="2"/>
          </rPr>
          <t xml:space="preserve">
Density of air=1.048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Sangeet Sarkar:</t>
        </r>
        <r>
          <rPr>
            <sz val="9"/>
            <color indexed="81"/>
            <rFont val="Tahoma"/>
            <family val="2"/>
          </rPr>
          <t xml:space="preserve">
Density of air=1.048
</t>
        </r>
      </text>
    </comment>
  </commentList>
</comments>
</file>

<file path=xl/sharedStrings.xml><?xml version="1.0" encoding="utf-8"?>
<sst xmlns="http://schemas.openxmlformats.org/spreadsheetml/2006/main" count="532" uniqueCount="223">
  <si>
    <t>Load  in MW</t>
  </si>
  <si>
    <t>BFP A SUCTION FLOW TOTALISER</t>
  </si>
  <si>
    <t>BFP B SUCTION FLOW TOTALISER</t>
  </si>
  <si>
    <t>BFP C SUCTION FLOW TOTALISER</t>
  </si>
  <si>
    <t>COND. FLOW TOTALISER</t>
  </si>
  <si>
    <t>CEP FLOW TOTALISER</t>
  </si>
  <si>
    <t>MS FLOW TOTALISER</t>
  </si>
  <si>
    <t>MS-APRDS FLOW TOTALISER</t>
  </si>
  <si>
    <t>CRH-APRDS FLOW TOTALISER</t>
  </si>
  <si>
    <t>PA FLOW TOTALISER</t>
  </si>
  <si>
    <t>SA FLOW TOTALISER</t>
  </si>
  <si>
    <t>FW  FLOW TOTALISER</t>
  </si>
  <si>
    <t>LDO FLOW TOTALISER</t>
  </si>
  <si>
    <t>HFO FLOW TOTALISER</t>
  </si>
  <si>
    <t>MILLA TOTALISER</t>
  </si>
  <si>
    <t>MILLB TOTALISER</t>
  </si>
  <si>
    <t>MILLC TOTALISER</t>
  </si>
  <si>
    <t>MILLD TOTALISER</t>
  </si>
  <si>
    <t>MILLE TOTALISER</t>
  </si>
  <si>
    <t>DM WATER TOTALISER</t>
  </si>
  <si>
    <t>FD FAN-A MTR CURR</t>
  </si>
  <si>
    <t>FD FAN-B MTR CURR</t>
  </si>
  <si>
    <t>ID FAN-A MTR CURR</t>
  </si>
  <si>
    <t>ID FAN-B MTR CURR</t>
  </si>
  <si>
    <t>PA FAN-A MTR CURR</t>
  </si>
  <si>
    <t>PA FAN-B MTR CURR</t>
  </si>
  <si>
    <t>BFP-A MTR CURRENT</t>
  </si>
  <si>
    <t>BFP-B MTR CURR</t>
  </si>
  <si>
    <t>BFP-CA MTR CURR</t>
  </si>
  <si>
    <t>BFP-CB MTR CURR</t>
  </si>
  <si>
    <t>CEP-A CURRENT</t>
  </si>
  <si>
    <t>CEP_B CURRENT</t>
  </si>
  <si>
    <t>CWP-A CURRENT</t>
  </si>
  <si>
    <t>CWP-B CURRENT</t>
  </si>
  <si>
    <t>CWP-C CURRENT</t>
  </si>
  <si>
    <t>MILL-A MTR CURRENT</t>
  </si>
  <si>
    <t>MILL B CURRENT</t>
  </si>
  <si>
    <t>MILL-C MTR CURRENT</t>
  </si>
  <si>
    <t>MILL D CURRENT</t>
  </si>
  <si>
    <t>MILL-E MTR CURRENT</t>
  </si>
  <si>
    <t>GENERATOR CURRENT</t>
  </si>
  <si>
    <t>1CA BOARD VOLATGE-R PHASE</t>
  </si>
  <si>
    <t>1CA BOARD VOLATGE-Y PHASE</t>
  </si>
  <si>
    <t>1CB BOARD VOLATGE-R PHASE</t>
  </si>
  <si>
    <t>1CB BOARD VOLATGE-Y PHASE</t>
  </si>
  <si>
    <t>BFP-A RUNNING HOUR</t>
  </si>
  <si>
    <t>BFP-B RUNNING HOUR</t>
  </si>
  <si>
    <t>BFP-1CA RUNNING HOUR</t>
  </si>
  <si>
    <t>BFP-1CB RUNNING HOUR</t>
  </si>
  <si>
    <t>CEP-1A RUNNING HOUR</t>
  </si>
  <si>
    <t>CEP-1B RUNNING HOUR</t>
  </si>
  <si>
    <t>CWP-1A RUNNING HOUR</t>
  </si>
  <si>
    <t>CWP-1B RUNNING HOUR</t>
  </si>
  <si>
    <t>CWP-1C RUNNING HOUR</t>
  </si>
  <si>
    <t>FD-1A RUNNING HOUR</t>
  </si>
  <si>
    <t>FD-B RUNNING HOUR</t>
  </si>
  <si>
    <t>IDF-1A  RUNNING HOUR</t>
  </si>
  <si>
    <t>IDF-1B RUNNING HOUR</t>
  </si>
  <si>
    <t>MILL-1A RUNNING HOUR</t>
  </si>
  <si>
    <t>MILL-1B RUNNING HOUR</t>
  </si>
  <si>
    <t>MILL-1C RUNNING HOUR</t>
  </si>
  <si>
    <t>MILL-1D RUNNING HOUR</t>
  </si>
  <si>
    <t>MILL-1E RUNNING HOUR</t>
  </si>
  <si>
    <t>PAF-1A RUNNING HOUR</t>
  </si>
  <si>
    <t>PAF-1B RUNNING HOUR</t>
  </si>
  <si>
    <t>DATE &amp; TIME</t>
  </si>
  <si>
    <t>BFP-A</t>
  </si>
  <si>
    <t>BFP-B</t>
  </si>
  <si>
    <t>Specific Power Consumption</t>
  </si>
  <si>
    <t>Parameters</t>
  </si>
  <si>
    <t>Bus Voltage KV</t>
  </si>
  <si>
    <t>Avg Current AMP</t>
  </si>
  <si>
    <t>PF Power Factor</t>
  </si>
  <si>
    <t>Power KWH</t>
  </si>
  <si>
    <t>Running Hour</t>
  </si>
  <si>
    <t>Load</t>
  </si>
  <si>
    <t>CWP-A</t>
  </si>
  <si>
    <t>CWP-B</t>
  </si>
  <si>
    <t>CWP-C</t>
  </si>
  <si>
    <t>CEP-A</t>
  </si>
  <si>
    <t>CEP-B</t>
  </si>
  <si>
    <t>BFP-CA</t>
  </si>
  <si>
    <t>BFP-CB</t>
  </si>
  <si>
    <t>MILL-A</t>
  </si>
  <si>
    <t>MILL-B</t>
  </si>
  <si>
    <t>MILL-C</t>
  </si>
  <si>
    <t>MILL-D</t>
  </si>
  <si>
    <t>MILL-E</t>
  </si>
  <si>
    <t>ID FAN-A</t>
  </si>
  <si>
    <t>ID FAN-B</t>
  </si>
  <si>
    <t>FD FAN-A</t>
  </si>
  <si>
    <t>FD FAN-B</t>
  </si>
  <si>
    <t>PA FAN-A</t>
  </si>
  <si>
    <t>PA FAN-B</t>
  </si>
  <si>
    <t xml:space="preserve"> =Average(Cells(2, 2):Cells(lastRow, 2))</t>
  </si>
  <si>
    <t xml:space="preserve">Total Flow </t>
  </si>
  <si>
    <t>Error</t>
  </si>
  <si>
    <t>Design Specific Power Consumption</t>
  </si>
  <si>
    <t>Design Motor Rating (KWH)</t>
  </si>
  <si>
    <t>Design Flow (TPH)</t>
  </si>
  <si>
    <t>BFP</t>
  </si>
  <si>
    <t>CEP</t>
  </si>
  <si>
    <t>CWP</t>
  </si>
  <si>
    <t>ID FAN</t>
  </si>
  <si>
    <t>FD FAN</t>
  </si>
  <si>
    <t>PA FAN</t>
  </si>
  <si>
    <t>MILL</t>
  </si>
  <si>
    <t>Full Load</t>
  </si>
  <si>
    <t>Part Load</t>
  </si>
  <si>
    <t>80% load</t>
  </si>
  <si>
    <t>MOTOR RATING</t>
  </si>
  <si>
    <t>KW</t>
  </si>
  <si>
    <t>RPM</t>
  </si>
  <si>
    <t>Coal Mill</t>
  </si>
  <si>
    <t>4/10/2021   8:00:00AM</t>
  </si>
  <si>
    <t>4/10/2021   8:05:00AM</t>
  </si>
  <si>
    <t>4/10/2021   8:10:00AM</t>
  </si>
  <si>
    <t>4/10/2021   8:15:00AM</t>
  </si>
  <si>
    <t>4/10/2021   8:20:00AM</t>
  </si>
  <si>
    <t>4/10/2021   8:25:00AM</t>
  </si>
  <si>
    <t>4/10/2021   8:30:00AM</t>
  </si>
  <si>
    <t>4/10/2021   8:35:00AM</t>
  </si>
  <si>
    <t>4/10/2021   8:40:00AM</t>
  </si>
  <si>
    <t>4/10/2021   8:45:00AM</t>
  </si>
  <si>
    <t>4/10/2021   8:50:00AM</t>
  </si>
  <si>
    <t>4/10/2021   8:55:00AM</t>
  </si>
  <si>
    <t>4/10/2021   9:00:00AM</t>
  </si>
  <si>
    <t>4/10/2021   9:05:00AM</t>
  </si>
  <si>
    <t>4/10/2021   9:10:00AM</t>
  </si>
  <si>
    <t>4/10/2021   9:15:00AM</t>
  </si>
  <si>
    <t>4/10/2021   9:20:00AM</t>
  </si>
  <si>
    <t>4/10/2021   9:25:00AM</t>
  </si>
  <si>
    <t>4/10/2021   9:30:00AM</t>
  </si>
  <si>
    <t>4/10/2021   9:35:00AM</t>
  </si>
  <si>
    <t>4/10/2021   9:40:00AM</t>
  </si>
  <si>
    <t>4/10/2021   9:45:00AM</t>
  </si>
  <si>
    <t>4/10/2021   9:50:00AM</t>
  </si>
  <si>
    <t>4/10/2021   9:55:00AM</t>
  </si>
  <si>
    <t>4/10/2021  10:00:00AM</t>
  </si>
  <si>
    <t>4/13/2021   9:45:00PM</t>
  </si>
  <si>
    <t>4/13/2021   9:50:00PM</t>
  </si>
  <si>
    <t>4/13/2021   9:55:00PM</t>
  </si>
  <si>
    <t>4/13/2021  10:00:00PM</t>
  </si>
  <si>
    <t>4/13/2021  10:05:00PM</t>
  </si>
  <si>
    <t>4/13/2021  10:10:00PM</t>
  </si>
  <si>
    <t>4/13/2021  10:15:00PM</t>
  </si>
  <si>
    <t>4/13/2021  10:20:00PM</t>
  </si>
  <si>
    <t>4/13/2021  10:25:00PM</t>
  </si>
  <si>
    <t>4/13/2021  10:30:00PM</t>
  </si>
  <si>
    <t>4/13/2021  10:35:00PM</t>
  </si>
  <si>
    <t>4/13/2021  10:40:00PM</t>
  </si>
  <si>
    <t>4/13/2021  10:45:00PM</t>
  </si>
  <si>
    <t>4/13/2021  10:50:00PM</t>
  </si>
  <si>
    <t>4/13/2021  10:55:00PM</t>
  </si>
  <si>
    <t>4/13/2021  11:00:00PM</t>
  </si>
  <si>
    <t>4/13/2021  11:05:00PM</t>
  </si>
  <si>
    <t>4/13/2021  11:10:00PM</t>
  </si>
  <si>
    <t>4/13/2021  11:15:00PM</t>
  </si>
  <si>
    <t>4/13/2021  11:20:00PM</t>
  </si>
  <si>
    <t>4/13/2021  11:25:00PM</t>
  </si>
  <si>
    <t>4/13/2021  11:30:00PM</t>
  </si>
  <si>
    <t>4/13/2021  11:35:00PM</t>
  </si>
  <si>
    <t>4/13/2021  11:40:00PM</t>
  </si>
  <si>
    <t>4/13/2021  11:45:00PM</t>
  </si>
  <si>
    <t>4/12/2021   7:30:00PM</t>
  </si>
  <si>
    <t>4/12/2021   7:35:00PM</t>
  </si>
  <si>
    <t>4/12/2021   7:40:00PM</t>
  </si>
  <si>
    <t>4/12/2021   7:45:00PM</t>
  </si>
  <si>
    <t>4/12/2021   7:50:00PM</t>
  </si>
  <si>
    <t>4/12/2021   7:55:00PM</t>
  </si>
  <si>
    <t>4/12/2021   8:00:00PM</t>
  </si>
  <si>
    <t>4/12/2021   8:05:00PM</t>
  </si>
  <si>
    <t>4/12/2021   8:10:00PM</t>
  </si>
  <si>
    <t>4/12/2021   8:15:00PM</t>
  </si>
  <si>
    <t>4/12/2021   8:20:00PM</t>
  </si>
  <si>
    <t>4/12/2021   8:25:00PM</t>
  </si>
  <si>
    <t>4/12/2021   8:30:00PM</t>
  </si>
  <si>
    <t>4/12/2021   8:35:00PM</t>
  </si>
  <si>
    <t>4/12/2021   8:40:00PM</t>
  </si>
  <si>
    <t>4/12/2021   8:45:00PM</t>
  </si>
  <si>
    <t>4/12/2021   8:50:00PM</t>
  </si>
  <si>
    <t>4/12/2021   8:55:00PM</t>
  </si>
  <si>
    <t>4/12/2021   9:00:00PM</t>
  </si>
  <si>
    <t>4/12/2021   9:05:00PM</t>
  </si>
  <si>
    <t>4/12/2021   9:10:00PM</t>
  </si>
  <si>
    <t>4/12/2021   9:15:00PM</t>
  </si>
  <si>
    <t>4/12/2021   9:20:00PM</t>
  </si>
  <si>
    <t>4/12/2021   9:25:00PM</t>
  </si>
  <si>
    <t>4/12/2021   9:30:00PM</t>
  </si>
  <si>
    <t>4/13/2021   7:45:00AM</t>
  </si>
  <si>
    <t>4/13/2021   7:50:00AM</t>
  </si>
  <si>
    <t>4/13/2021   7:55:00AM</t>
  </si>
  <si>
    <t>4/13/2021   8:00:00AM</t>
  </si>
  <si>
    <t>4/13/2021   8:05:00AM</t>
  </si>
  <si>
    <t>4/13/2021   8:10:00AM</t>
  </si>
  <si>
    <t>4/13/2021   8:15:00AM</t>
  </si>
  <si>
    <t>4/13/2021   8:20:00AM</t>
  </si>
  <si>
    <t>4/13/2021   8:25:00AM</t>
  </si>
  <si>
    <t>4/13/2021   8:30:00AM</t>
  </si>
  <si>
    <t>4/13/2021   8:35:00AM</t>
  </si>
  <si>
    <t>4/13/2021   8:40:00AM</t>
  </si>
  <si>
    <t>4/13/2021   8:45:00AM</t>
  </si>
  <si>
    <t>4/13/2021   8:50:00AM</t>
  </si>
  <si>
    <t>4/13/2021   8:55:00AM</t>
  </si>
  <si>
    <t>4/13/2021   9:00:00AM</t>
  </si>
  <si>
    <t>4/13/2021   9:05:00AM</t>
  </si>
  <si>
    <t>4/13/2021   9:10:00AM</t>
  </si>
  <si>
    <t>4/13/2021   9:15:00AM</t>
  </si>
  <si>
    <t>4/13/2021   9:20:00AM</t>
  </si>
  <si>
    <t>4/13/2021   9:25:00AM</t>
  </si>
  <si>
    <t>4/13/2021   9:30:00AM</t>
  </si>
  <si>
    <t>4/13/2021   9:35:00AM</t>
  </si>
  <si>
    <t>4/13/2021   9:40:00AM</t>
  </si>
  <si>
    <t>4/13/2021   9:45:00AM</t>
  </si>
  <si>
    <t>FLOW(TPH)</t>
  </si>
  <si>
    <t>FLC(A)</t>
  </si>
  <si>
    <t>SPC(KWH/TPH)</t>
  </si>
  <si>
    <t>Parameters (U-1) 4-10-2021</t>
  </si>
  <si>
    <t>Parameters (U-1) 4-13-2021</t>
  </si>
  <si>
    <t>Parameters (U-2) 4-13-2021</t>
  </si>
  <si>
    <t>Parameters (U-2) 4-12-2021</t>
  </si>
  <si>
    <t>Total Flow (TPH)</t>
  </si>
  <si>
    <t>Specific Power Consumption (KWH/TPH)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</si>
</sst>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000000"/>
    <numFmt numFmtId="166" formatCode="0.0"/>
    <numFmt numFmtId="167" formatCode="0.00000"/>
    <numFmt numFmtId="168" formatCode="dddd\,\ mmmm\ dd\,\ yyyy"/>
  </numFmts>
  <fonts count="25" x14ac:knownFonts="1">
    <font>
      <sz val="10"/>
      <color indexed="8"/>
      <name val="MS Sans Serif"/>
    </font>
    <font>
      <sz val="11"/>
      <color theme="1"/>
      <name val="Calibri"/>
      <family val="2"/>
      <scheme val="minor"/>
    </font>
    <font>
      <b/>
      <sz val="9"/>
      <color indexed="8"/>
      <name val="Bookman Old Style"/>
      <family val="1"/>
    </font>
    <font>
      <sz val="9"/>
      <color indexed="8"/>
      <name val="Bookman Old Style"/>
      <family val="1"/>
    </font>
    <font>
      <sz val="10"/>
      <color indexed="8"/>
      <name val="Bookman Old Style"/>
      <family val="1"/>
    </font>
    <font>
      <b/>
      <sz val="10"/>
      <color indexed="8"/>
      <name val="Bookman Old Style"/>
      <family val="1"/>
    </font>
    <font>
      <sz val="10"/>
      <color indexed="8"/>
      <name val="MS Sans Serif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7.7"/>
      <color indexed="8"/>
      <name val="Courier New"/>
      <family val="3"/>
    </font>
    <font>
      <b/>
      <sz val="11"/>
      <color indexed="8"/>
      <name val="Bookman Old Style"/>
      <family val="1"/>
    </font>
    <font>
      <b/>
      <sz val="12"/>
      <color indexed="8"/>
      <name val="Bookman Old Style"/>
      <family val="1"/>
    </font>
    <font>
      <sz val="12"/>
      <color indexed="8"/>
      <name val="Bookman Old Style"/>
      <family val="1"/>
    </font>
    <font>
      <sz val="11"/>
      <color indexed="8"/>
      <name val="Bookman Old Style"/>
      <family val="1"/>
    </font>
    <font>
      <sz val="7.7"/>
      <color indexed="8"/>
      <name val="Courier New"/>
      <family val="3"/>
    </font>
    <font>
      <b/>
      <sz val="14"/>
      <color indexed="8"/>
      <name val="Courier New"/>
      <family val="3"/>
    </font>
    <font>
      <b/>
      <sz val="9.1"/>
      <color indexed="8"/>
      <name val="Times New Roman"/>
      <family val="1"/>
    </font>
    <font>
      <sz val="9.1"/>
      <color indexed="8"/>
      <name val="Courier New"/>
      <family val="3"/>
    </font>
    <font>
      <u/>
      <sz val="7.7"/>
      <color indexed="8"/>
      <name val="Courier New"/>
      <family val="3"/>
    </font>
    <font>
      <b/>
      <sz val="7.2"/>
      <color indexed="8"/>
      <name val="Courier New"/>
      <family val="3"/>
    </font>
    <font>
      <sz val="9.1"/>
      <color indexed="8"/>
      <name val="Times New Roman"/>
      <family val="1"/>
    </font>
    <font>
      <sz val="10.1"/>
      <color indexed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"/>
      <name val="MS Sans Serif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BF3EF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76">
    <xf numFmtId="0" fontId="0" fillId="0" borderId="0" xfId="0" applyNumberFormat="1" applyFill="1" applyBorder="1" applyAlignment="1" applyProtection="1"/>
    <xf numFmtId="0" fontId="2" fillId="2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/>
    <xf numFmtId="0" fontId="5" fillId="2" borderId="1" xfId="0" applyNumberFormat="1" applyFont="1" applyFill="1" applyBorder="1" applyAlignment="1" applyProtection="1">
      <alignment horizontal="center" vertical="center" wrapText="1"/>
    </xf>
    <xf numFmtId="0" fontId="5" fillId="3" borderId="1" xfId="0" applyNumberFormat="1" applyFont="1" applyFill="1" applyBorder="1" applyAlignment="1" applyProtection="1">
      <alignment horizontal="center" vertical="center" wrapText="1"/>
    </xf>
    <xf numFmtId="0" fontId="5" fillId="4" borderId="1" xfId="0" applyNumberFormat="1" applyFont="1" applyFill="1" applyBorder="1" applyAlignment="1" applyProtection="1">
      <alignment horizontal="center" vertical="center" wrapText="1"/>
    </xf>
    <xf numFmtId="0" fontId="2" fillId="2" borderId="1" xfId="0" applyNumberFormat="1" applyFont="1" applyFill="1" applyBorder="1" applyAlignment="1" applyProtection="1">
      <alignment horizontal="center" wrapText="1"/>
    </xf>
    <xf numFmtId="0" fontId="5" fillId="2" borderId="1" xfId="0" applyNumberFormat="1" applyFont="1" applyFill="1" applyBorder="1" applyAlignment="1" applyProtection="1">
      <alignment horizontal="center" wrapText="1"/>
    </xf>
    <xf numFmtId="0" fontId="2" fillId="2" borderId="1" xfId="0" applyNumberFormat="1" applyFont="1" applyFill="1" applyBorder="1" applyAlignment="1" applyProtection="1">
      <alignment horizontal="left" vertical="center" wrapText="1"/>
    </xf>
    <xf numFmtId="0" fontId="3" fillId="0" borderId="0" xfId="0" applyNumberFormat="1" applyFont="1" applyFill="1" applyBorder="1" applyAlignment="1" applyProtection="1">
      <alignment horizontal="left"/>
    </xf>
    <xf numFmtId="164" fontId="3" fillId="0" borderId="1" xfId="0" applyNumberFormat="1" applyFont="1" applyFill="1" applyBorder="1" applyAlignment="1" applyProtection="1">
      <alignment horizontal="left" vertical="top"/>
    </xf>
    <xf numFmtId="0" fontId="3" fillId="0" borderId="1" xfId="0" applyNumberFormat="1" applyFont="1" applyFill="1" applyBorder="1" applyAlignment="1" applyProtection="1">
      <alignment horizontal="left" vertical="top"/>
    </xf>
    <xf numFmtId="2" fontId="3" fillId="0" borderId="1" xfId="0" applyNumberFormat="1" applyFont="1" applyFill="1" applyBorder="1" applyAlignment="1" applyProtection="1">
      <alignment horizontal="left" vertical="top"/>
    </xf>
    <xf numFmtId="166" fontId="3" fillId="0" borderId="1" xfId="0" applyNumberFormat="1" applyFont="1" applyFill="1" applyBorder="1" applyAlignment="1" applyProtection="1">
      <alignment horizontal="left" vertical="top"/>
    </xf>
    <xf numFmtId="2" fontId="3" fillId="0" borderId="0" xfId="0" applyNumberFormat="1" applyFont="1" applyFill="1" applyBorder="1" applyAlignment="1" applyProtection="1">
      <alignment horizontal="left"/>
    </xf>
    <xf numFmtId="0" fontId="3" fillId="0" borderId="1" xfId="0" applyNumberFormat="1" applyFont="1" applyFill="1" applyBorder="1" applyAlignment="1" applyProtection="1">
      <alignment horizontal="left" vertical="center"/>
    </xf>
    <xf numFmtId="0" fontId="3" fillId="5" borderId="1" xfId="0" applyNumberFormat="1" applyFont="1" applyFill="1" applyBorder="1" applyAlignment="1" applyProtection="1">
      <alignment horizontal="left" vertical="top"/>
    </xf>
    <xf numFmtId="0" fontId="3" fillId="0" borderId="1" xfId="0" applyNumberFormat="1" applyFont="1" applyFill="1" applyBorder="1" applyAlignment="1" applyProtection="1">
      <alignment horizontal="center" vertical="center"/>
    </xf>
    <xf numFmtId="165" fontId="3" fillId="6" borderId="1" xfId="0" applyNumberFormat="1" applyFont="1" applyFill="1" applyBorder="1" applyAlignment="1" applyProtection="1">
      <alignment horizontal="left" vertical="top"/>
    </xf>
    <xf numFmtId="0" fontId="3" fillId="6" borderId="1" xfId="0" applyNumberFormat="1" applyFont="1" applyFill="1" applyBorder="1" applyAlignment="1" applyProtection="1">
      <alignment horizontal="left" vertical="top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/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2" borderId="2" xfId="0" applyNumberFormat="1" applyFont="1" applyFill="1" applyBorder="1" applyAlignment="1" applyProtection="1"/>
    <xf numFmtId="9" fontId="3" fillId="0" borderId="0" xfId="2" applyFont="1" applyFill="1" applyBorder="1" applyAlignment="1" applyProtection="1">
      <alignment horizontal="left"/>
    </xf>
    <xf numFmtId="0" fontId="7" fillId="2" borderId="1" xfId="0" applyNumberFormat="1" applyFont="1" applyFill="1" applyBorder="1" applyAlignment="1" applyProtection="1">
      <alignment horizontal="left" vertical="center" wrapText="1"/>
    </xf>
    <xf numFmtId="0" fontId="7" fillId="2" borderId="1" xfId="0" applyNumberFormat="1" applyFont="1" applyFill="1" applyBorder="1" applyAlignment="1" applyProtection="1">
      <alignment horizontal="center" vertical="center" wrapText="1"/>
    </xf>
    <xf numFmtId="0" fontId="8" fillId="0" borderId="0" xfId="0" applyNumberFormat="1" applyFont="1" applyFill="1" applyBorder="1" applyAlignment="1" applyProtection="1">
      <alignment horizontal="center" vertical="center" wrapText="1"/>
    </xf>
    <xf numFmtId="0" fontId="7" fillId="0" borderId="0" xfId="0" applyNumberFormat="1" applyFont="1" applyFill="1" applyBorder="1" applyAlignment="1" applyProtection="1">
      <alignment horizontal="center" vertical="center" wrapText="1"/>
    </xf>
    <xf numFmtId="0" fontId="7" fillId="0" borderId="0" xfId="0" applyNumberFormat="1" applyFont="1" applyFill="1" applyBorder="1" applyAlignment="1" applyProtection="1">
      <alignment horizontal="left" vertical="center" wrapText="1"/>
    </xf>
    <xf numFmtId="0" fontId="7" fillId="2" borderId="1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/>
    <xf numFmtId="0" fontId="7" fillId="0" borderId="1" xfId="0" applyNumberFormat="1" applyFont="1" applyFill="1" applyBorder="1" applyAlignment="1" applyProtection="1">
      <alignment horizontal="center" vertical="center" wrapText="1"/>
    </xf>
    <xf numFmtId="0" fontId="7" fillId="0" borderId="0" xfId="0" applyNumberFormat="1" applyFont="1" applyFill="1" applyBorder="1" applyAlignment="1" applyProtection="1">
      <alignment horizontal="center" wrapText="1"/>
    </xf>
    <xf numFmtId="166" fontId="8" fillId="0" borderId="1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/>
    <xf numFmtId="166" fontId="7" fillId="0" borderId="0" xfId="0" applyNumberFormat="1" applyFont="1" applyFill="1" applyBorder="1" applyAlignment="1" applyProtection="1">
      <alignment horizontal="left" vertical="center" wrapText="1"/>
    </xf>
    <xf numFmtId="166" fontId="7" fillId="0" borderId="0" xfId="0" applyNumberFormat="1" applyFont="1" applyFill="1" applyBorder="1" applyAlignment="1" applyProtection="1">
      <alignment horizontal="center" vertical="center" wrapText="1"/>
    </xf>
    <xf numFmtId="164" fontId="8" fillId="8" borderId="1" xfId="0" applyNumberFormat="1" applyFont="1" applyFill="1" applyBorder="1" applyAlignment="1" applyProtection="1">
      <alignment horizontal="center" vertical="center"/>
    </xf>
    <xf numFmtId="164" fontId="8" fillId="7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>
      <alignment horizontal="right" vertical="center"/>
    </xf>
    <xf numFmtId="0" fontId="10" fillId="2" borderId="1" xfId="0" applyNumberFormat="1" applyFont="1" applyFill="1" applyBorder="1" applyAlignment="1" applyProtection="1">
      <alignment horizontal="center" vertical="center" wrapText="1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1" fillId="2" borderId="1" xfId="0" applyNumberFormat="1" applyFont="1" applyFill="1" applyBorder="1" applyAlignment="1" applyProtection="1">
      <alignment horizontal="center" vertical="center"/>
    </xf>
    <xf numFmtId="2" fontId="13" fillId="0" borderId="1" xfId="0" applyNumberFormat="1" applyFont="1" applyFill="1" applyBorder="1" applyAlignment="1" applyProtection="1">
      <alignment horizontal="left" vertical="top"/>
    </xf>
    <xf numFmtId="2" fontId="13" fillId="7" borderId="1" xfId="0" applyNumberFormat="1" applyFont="1" applyFill="1" applyBorder="1" applyAlignment="1" applyProtection="1">
      <alignment horizontal="left" vertical="top"/>
    </xf>
    <xf numFmtId="2" fontId="13" fillId="0" borderId="1" xfId="0" applyNumberFormat="1" applyFont="1" applyFill="1" applyBorder="1" applyAlignment="1" applyProtection="1">
      <alignment horizontal="left" vertical="center"/>
    </xf>
    <xf numFmtId="0" fontId="10" fillId="2" borderId="1" xfId="0" applyNumberFormat="1" applyFont="1" applyFill="1" applyBorder="1" applyAlignment="1" applyProtection="1"/>
    <xf numFmtId="167" fontId="13" fillId="9" borderId="1" xfId="0" applyNumberFormat="1" applyFont="1" applyFill="1" applyBorder="1" applyAlignment="1" applyProtection="1">
      <alignment horizontal="left" vertical="top"/>
    </xf>
    <xf numFmtId="0" fontId="10" fillId="3" borderId="1" xfId="0" applyNumberFormat="1" applyFont="1" applyFill="1" applyBorder="1" applyAlignment="1" applyProtection="1">
      <alignment horizontal="center" vertical="center" wrapText="1"/>
    </xf>
    <xf numFmtId="0" fontId="14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0" fillId="0" borderId="0" xfId="0" applyNumberFormat="1" applyFill="1" applyBorder="1" applyAlignment="1" applyProtection="1"/>
    <xf numFmtId="168" fontId="16" fillId="0" borderId="0" xfId="0" applyNumberFormat="1" applyFont="1" applyAlignment="1">
      <alignment horizontal="right" vertical="center"/>
    </xf>
    <xf numFmtId="21" fontId="16" fillId="0" borderId="0" xfId="0" applyNumberFormat="1" applyFont="1" applyAlignment="1">
      <alignment horizontal="left" vertical="center"/>
    </xf>
    <xf numFmtId="0" fontId="17" fillId="10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1" fontId="20" fillId="0" borderId="0" xfId="0" applyNumberFormat="1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11" fillId="0" borderId="1" xfId="0" applyNumberFormat="1" applyFont="1" applyFill="1" applyBorder="1" applyAlignment="1" applyProtection="1">
      <alignment horizontal="left" vertical="center"/>
    </xf>
    <xf numFmtId="0" fontId="10" fillId="2" borderId="1" xfId="0" applyNumberFormat="1" applyFont="1" applyFill="1" applyBorder="1" applyAlignment="1" applyProtection="1">
      <alignment horizontal="left" vertical="top" wrapText="1"/>
    </xf>
    <xf numFmtId="2" fontId="12" fillId="0" borderId="1" xfId="0" applyNumberFormat="1" applyFont="1" applyFill="1" applyBorder="1" applyAlignment="1" applyProtection="1">
      <alignment horizontal="center" vertical="center"/>
    </xf>
    <xf numFmtId="0" fontId="24" fillId="5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</cellXfs>
  <cellStyles count="3">
    <cellStyle name="Normal" xfId="0" builtinId="0"/>
    <cellStyle name="Normal 2" xfId="1"/>
    <cellStyle name="Percent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5BF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1819275</xdr:colOff>
          <xdr:row>3</xdr:row>
          <xdr:rowOff>28575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9525</xdr:rowOff>
        </xdr:from>
        <xdr:to>
          <xdr:col>0</xdr:col>
          <xdr:colOff>1638300</xdr:colOff>
          <xdr:row>0</xdr:row>
          <xdr:rowOff>609600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299"/>
  <sheetViews>
    <sheetView tabSelected="1" workbookViewId="0">
      <selection sqref="A1:XFD1048576"/>
    </sheetView>
  </sheetViews>
  <sheetFormatPr defaultRowHeight="12.75" x14ac:dyDescent="0.2"/>
  <cols>
    <col min="1" max="1" width="29" style="59" customWidth="1"/>
    <col min="2" max="2" width="12.140625" style="59" customWidth="1"/>
    <col min="3" max="9" width="11.28515625" style="59" customWidth="1"/>
    <col min="10" max="244" width="11.42578125" style="59" customWidth="1"/>
    <col min="245" max="245" width="65.5703125" style="59" customWidth="1"/>
    <col min="246" max="246" width="29" style="59" customWidth="1"/>
    <col min="247" max="247" width="12.140625" style="59" customWidth="1"/>
    <col min="248" max="261" width="11.28515625" style="59" customWidth="1"/>
    <col min="262" max="500" width="11.42578125" style="59" customWidth="1"/>
    <col min="501" max="501" width="65.5703125" style="59" customWidth="1"/>
    <col min="502" max="502" width="29" style="59" customWidth="1"/>
    <col min="503" max="503" width="12.140625" style="59" customWidth="1"/>
    <col min="504" max="517" width="11.28515625" style="59" customWidth="1"/>
    <col min="518" max="756" width="11.42578125" style="59" customWidth="1"/>
    <col min="757" max="757" width="65.5703125" style="59" customWidth="1"/>
    <col min="758" max="758" width="29" style="59" customWidth="1"/>
    <col min="759" max="759" width="12.140625" style="59" customWidth="1"/>
    <col min="760" max="773" width="11.28515625" style="59" customWidth="1"/>
    <col min="774" max="1012" width="11.42578125" style="59" customWidth="1"/>
    <col min="1013" max="1013" width="65.5703125" style="59" customWidth="1"/>
    <col min="1014" max="1014" width="29" style="59" customWidth="1"/>
    <col min="1015" max="1015" width="12.140625" style="59" customWidth="1"/>
    <col min="1016" max="1029" width="11.28515625" style="59" customWidth="1"/>
    <col min="1030" max="1268" width="11.42578125" style="59" customWidth="1"/>
    <col min="1269" max="1269" width="65.5703125" style="59" customWidth="1"/>
    <col min="1270" max="1270" width="29" style="59" customWidth="1"/>
    <col min="1271" max="1271" width="12.140625" style="59" customWidth="1"/>
    <col min="1272" max="1285" width="11.28515625" style="59" customWidth="1"/>
    <col min="1286" max="1524" width="11.42578125" style="59" customWidth="1"/>
    <col min="1525" max="1525" width="65.5703125" style="59" customWidth="1"/>
    <col min="1526" max="1526" width="29" style="59" customWidth="1"/>
    <col min="1527" max="1527" width="12.140625" style="59" customWidth="1"/>
    <col min="1528" max="1541" width="11.28515625" style="59" customWidth="1"/>
    <col min="1542" max="1780" width="11.42578125" style="59" customWidth="1"/>
    <col min="1781" max="1781" width="65.5703125" style="59" customWidth="1"/>
    <col min="1782" max="1782" width="29" style="59" customWidth="1"/>
    <col min="1783" max="1783" width="12.140625" style="59" customWidth="1"/>
    <col min="1784" max="1797" width="11.28515625" style="59" customWidth="1"/>
    <col min="1798" max="2036" width="11.42578125" style="59" customWidth="1"/>
    <col min="2037" max="2037" width="65.5703125" style="59" customWidth="1"/>
    <col min="2038" max="2038" width="29" style="59" customWidth="1"/>
    <col min="2039" max="2039" width="12.140625" style="59" customWidth="1"/>
    <col min="2040" max="2053" width="11.28515625" style="59" customWidth="1"/>
    <col min="2054" max="2292" width="11.42578125" style="59" customWidth="1"/>
    <col min="2293" max="2293" width="65.5703125" style="59" customWidth="1"/>
    <col min="2294" max="2294" width="29" style="59" customWidth="1"/>
    <col min="2295" max="2295" width="12.140625" style="59" customWidth="1"/>
    <col min="2296" max="2309" width="11.28515625" style="59" customWidth="1"/>
    <col min="2310" max="2548" width="11.42578125" style="59" customWidth="1"/>
    <col min="2549" max="2549" width="65.5703125" style="59" customWidth="1"/>
    <col min="2550" max="2550" width="29" style="59" customWidth="1"/>
    <col min="2551" max="2551" width="12.140625" style="59" customWidth="1"/>
    <col min="2552" max="2565" width="11.28515625" style="59" customWidth="1"/>
    <col min="2566" max="2804" width="11.42578125" style="59" customWidth="1"/>
    <col min="2805" max="2805" width="65.5703125" style="59" customWidth="1"/>
    <col min="2806" max="2806" width="29" style="59" customWidth="1"/>
    <col min="2807" max="2807" width="12.140625" style="59" customWidth="1"/>
    <col min="2808" max="2821" width="11.28515625" style="59" customWidth="1"/>
    <col min="2822" max="3060" width="11.42578125" style="59" customWidth="1"/>
    <col min="3061" max="3061" width="65.5703125" style="59" customWidth="1"/>
    <col min="3062" max="3062" width="29" style="59" customWidth="1"/>
    <col min="3063" max="3063" width="12.140625" style="59" customWidth="1"/>
    <col min="3064" max="3077" width="11.28515625" style="59" customWidth="1"/>
    <col min="3078" max="3316" width="11.42578125" style="59" customWidth="1"/>
    <col min="3317" max="3317" width="65.5703125" style="59" customWidth="1"/>
    <col min="3318" max="3318" width="29" style="59" customWidth="1"/>
    <col min="3319" max="3319" width="12.140625" style="59" customWidth="1"/>
    <col min="3320" max="3333" width="11.28515625" style="59" customWidth="1"/>
    <col min="3334" max="3572" width="11.42578125" style="59" customWidth="1"/>
    <col min="3573" max="3573" width="65.5703125" style="59" customWidth="1"/>
    <col min="3574" max="3574" width="29" style="59" customWidth="1"/>
    <col min="3575" max="3575" width="12.140625" style="59" customWidth="1"/>
    <col min="3576" max="3589" width="11.28515625" style="59" customWidth="1"/>
    <col min="3590" max="3828" width="11.42578125" style="59" customWidth="1"/>
    <col min="3829" max="3829" width="65.5703125" style="59" customWidth="1"/>
    <col min="3830" max="3830" width="29" style="59" customWidth="1"/>
    <col min="3831" max="3831" width="12.140625" style="59" customWidth="1"/>
    <col min="3832" max="3845" width="11.28515625" style="59" customWidth="1"/>
    <col min="3846" max="4084" width="11.42578125" style="59" customWidth="1"/>
    <col min="4085" max="4085" width="65.5703125" style="59" customWidth="1"/>
    <col min="4086" max="4086" width="29" style="59" customWidth="1"/>
    <col min="4087" max="4087" width="12.140625" style="59" customWidth="1"/>
    <col min="4088" max="4101" width="11.28515625" style="59" customWidth="1"/>
    <col min="4102" max="4340" width="11.42578125" style="59" customWidth="1"/>
    <col min="4341" max="4341" width="65.5703125" style="59" customWidth="1"/>
    <col min="4342" max="4342" width="29" style="59" customWidth="1"/>
    <col min="4343" max="4343" width="12.140625" style="59" customWidth="1"/>
    <col min="4344" max="4357" width="11.28515625" style="59" customWidth="1"/>
    <col min="4358" max="4596" width="11.42578125" style="59" customWidth="1"/>
    <col min="4597" max="4597" width="65.5703125" style="59" customWidth="1"/>
    <col min="4598" max="4598" width="29" style="59" customWidth="1"/>
    <col min="4599" max="4599" width="12.140625" style="59" customWidth="1"/>
    <col min="4600" max="4613" width="11.28515625" style="59" customWidth="1"/>
    <col min="4614" max="4852" width="11.42578125" style="59" customWidth="1"/>
    <col min="4853" max="4853" width="65.5703125" style="59" customWidth="1"/>
    <col min="4854" max="4854" width="29" style="59" customWidth="1"/>
    <col min="4855" max="4855" width="12.140625" style="59" customWidth="1"/>
    <col min="4856" max="4869" width="11.28515625" style="59" customWidth="1"/>
    <col min="4870" max="5108" width="11.42578125" style="59" customWidth="1"/>
    <col min="5109" max="5109" width="65.5703125" style="59" customWidth="1"/>
    <col min="5110" max="5110" width="29" style="59" customWidth="1"/>
    <col min="5111" max="5111" width="12.140625" style="59" customWidth="1"/>
    <col min="5112" max="5125" width="11.28515625" style="59" customWidth="1"/>
    <col min="5126" max="5364" width="11.42578125" style="59" customWidth="1"/>
    <col min="5365" max="5365" width="65.5703125" style="59" customWidth="1"/>
    <col min="5366" max="5366" width="29" style="59" customWidth="1"/>
    <col min="5367" max="5367" width="12.140625" style="59" customWidth="1"/>
    <col min="5368" max="5381" width="11.28515625" style="59" customWidth="1"/>
    <col min="5382" max="5620" width="11.42578125" style="59" customWidth="1"/>
    <col min="5621" max="5621" width="65.5703125" style="59" customWidth="1"/>
    <col min="5622" max="5622" width="29" style="59" customWidth="1"/>
    <col min="5623" max="5623" width="12.140625" style="59" customWidth="1"/>
    <col min="5624" max="5637" width="11.28515625" style="59" customWidth="1"/>
    <col min="5638" max="5876" width="11.42578125" style="59" customWidth="1"/>
    <col min="5877" max="5877" width="65.5703125" style="59" customWidth="1"/>
    <col min="5878" max="5878" width="29" style="59" customWidth="1"/>
    <col min="5879" max="5879" width="12.140625" style="59" customWidth="1"/>
    <col min="5880" max="5893" width="11.28515625" style="59" customWidth="1"/>
    <col min="5894" max="6132" width="11.42578125" style="59" customWidth="1"/>
    <col min="6133" max="6133" width="65.5703125" style="59" customWidth="1"/>
    <col min="6134" max="6134" width="29" style="59" customWidth="1"/>
    <col min="6135" max="6135" width="12.140625" style="59" customWidth="1"/>
    <col min="6136" max="6149" width="11.28515625" style="59" customWidth="1"/>
    <col min="6150" max="6388" width="11.42578125" style="59" customWidth="1"/>
    <col min="6389" max="6389" width="65.5703125" style="59" customWidth="1"/>
    <col min="6390" max="6390" width="29" style="59" customWidth="1"/>
    <col min="6391" max="6391" width="12.140625" style="59" customWidth="1"/>
    <col min="6392" max="6405" width="11.28515625" style="59" customWidth="1"/>
    <col min="6406" max="6644" width="11.42578125" style="59" customWidth="1"/>
    <col min="6645" max="6645" width="65.5703125" style="59" customWidth="1"/>
    <col min="6646" max="6646" width="29" style="59" customWidth="1"/>
    <col min="6647" max="6647" width="12.140625" style="59" customWidth="1"/>
    <col min="6648" max="6661" width="11.28515625" style="59" customWidth="1"/>
    <col min="6662" max="6900" width="11.42578125" style="59" customWidth="1"/>
    <col min="6901" max="6901" width="65.5703125" style="59" customWidth="1"/>
    <col min="6902" max="6902" width="29" style="59" customWidth="1"/>
    <col min="6903" max="6903" width="12.140625" style="59" customWidth="1"/>
    <col min="6904" max="6917" width="11.28515625" style="59" customWidth="1"/>
    <col min="6918" max="7156" width="11.42578125" style="59" customWidth="1"/>
    <col min="7157" max="7157" width="65.5703125" style="59" customWidth="1"/>
    <col min="7158" max="7158" width="29" style="59" customWidth="1"/>
    <col min="7159" max="7159" width="12.140625" style="59" customWidth="1"/>
    <col min="7160" max="7173" width="11.28515625" style="59" customWidth="1"/>
    <col min="7174" max="7412" width="11.42578125" style="59" customWidth="1"/>
    <col min="7413" max="7413" width="65.5703125" style="59" customWidth="1"/>
    <col min="7414" max="7414" width="29" style="59" customWidth="1"/>
    <col min="7415" max="7415" width="12.140625" style="59" customWidth="1"/>
    <col min="7416" max="7429" width="11.28515625" style="59" customWidth="1"/>
    <col min="7430" max="7668" width="11.42578125" style="59" customWidth="1"/>
    <col min="7669" max="7669" width="65.5703125" style="59" customWidth="1"/>
    <col min="7670" max="7670" width="29" style="59" customWidth="1"/>
    <col min="7671" max="7671" width="12.140625" style="59" customWidth="1"/>
    <col min="7672" max="7685" width="11.28515625" style="59" customWidth="1"/>
    <col min="7686" max="7924" width="11.42578125" style="59" customWidth="1"/>
    <col min="7925" max="7925" width="65.5703125" style="59" customWidth="1"/>
    <col min="7926" max="7926" width="29" style="59" customWidth="1"/>
    <col min="7927" max="7927" width="12.140625" style="59" customWidth="1"/>
    <col min="7928" max="7941" width="11.28515625" style="59" customWidth="1"/>
    <col min="7942" max="8180" width="11.42578125" style="59" customWidth="1"/>
    <col min="8181" max="8181" width="65.5703125" style="59" customWidth="1"/>
    <col min="8182" max="8182" width="29" style="59" customWidth="1"/>
    <col min="8183" max="8183" width="12.140625" style="59" customWidth="1"/>
    <col min="8184" max="8197" width="11.28515625" style="59" customWidth="1"/>
    <col min="8198" max="8436" width="11.42578125" style="59" customWidth="1"/>
    <col min="8437" max="8437" width="65.5703125" style="59" customWidth="1"/>
    <col min="8438" max="8438" width="29" style="59" customWidth="1"/>
    <col min="8439" max="8439" width="12.140625" style="59" customWidth="1"/>
    <col min="8440" max="8453" width="11.28515625" style="59" customWidth="1"/>
    <col min="8454" max="8692" width="11.42578125" style="59" customWidth="1"/>
    <col min="8693" max="8693" width="65.5703125" style="59" customWidth="1"/>
    <col min="8694" max="8694" width="29" style="59" customWidth="1"/>
    <col min="8695" max="8695" width="12.140625" style="59" customWidth="1"/>
    <col min="8696" max="8709" width="11.28515625" style="59" customWidth="1"/>
    <col min="8710" max="8948" width="11.42578125" style="59" customWidth="1"/>
    <col min="8949" max="8949" width="65.5703125" style="59" customWidth="1"/>
    <col min="8950" max="8950" width="29" style="59" customWidth="1"/>
    <col min="8951" max="8951" width="12.140625" style="59" customWidth="1"/>
    <col min="8952" max="8965" width="11.28515625" style="59" customWidth="1"/>
    <col min="8966" max="9204" width="11.42578125" style="59" customWidth="1"/>
    <col min="9205" max="9205" width="65.5703125" style="59" customWidth="1"/>
    <col min="9206" max="9206" width="29" style="59" customWidth="1"/>
    <col min="9207" max="9207" width="12.140625" style="59" customWidth="1"/>
    <col min="9208" max="9221" width="11.28515625" style="59" customWidth="1"/>
    <col min="9222" max="9460" width="11.42578125" style="59" customWidth="1"/>
    <col min="9461" max="9461" width="65.5703125" style="59" customWidth="1"/>
    <col min="9462" max="9462" width="29" style="59" customWidth="1"/>
    <col min="9463" max="9463" width="12.140625" style="59" customWidth="1"/>
    <col min="9464" max="9477" width="11.28515625" style="59" customWidth="1"/>
    <col min="9478" max="9716" width="11.42578125" style="59" customWidth="1"/>
    <col min="9717" max="9717" width="65.5703125" style="59" customWidth="1"/>
    <col min="9718" max="9718" width="29" style="59" customWidth="1"/>
    <col min="9719" max="9719" width="12.140625" style="59" customWidth="1"/>
    <col min="9720" max="9733" width="11.28515625" style="59" customWidth="1"/>
    <col min="9734" max="9972" width="11.42578125" style="59" customWidth="1"/>
    <col min="9973" max="9973" width="65.5703125" style="59" customWidth="1"/>
    <col min="9974" max="9974" width="29" style="59" customWidth="1"/>
    <col min="9975" max="9975" width="12.140625" style="59" customWidth="1"/>
    <col min="9976" max="9989" width="11.28515625" style="59" customWidth="1"/>
    <col min="9990" max="10228" width="11.42578125" style="59" customWidth="1"/>
    <col min="10229" max="10229" width="65.5703125" style="59" customWidth="1"/>
    <col min="10230" max="10230" width="29" style="59" customWidth="1"/>
    <col min="10231" max="10231" width="12.140625" style="59" customWidth="1"/>
    <col min="10232" max="10245" width="11.28515625" style="59" customWidth="1"/>
    <col min="10246" max="10484" width="11.42578125" style="59" customWidth="1"/>
    <col min="10485" max="10485" width="65.5703125" style="59" customWidth="1"/>
    <col min="10486" max="10486" width="29" style="59" customWidth="1"/>
    <col min="10487" max="10487" width="12.140625" style="59" customWidth="1"/>
    <col min="10488" max="10501" width="11.28515625" style="59" customWidth="1"/>
    <col min="10502" max="10740" width="11.42578125" style="59" customWidth="1"/>
    <col min="10741" max="10741" width="65.5703125" style="59" customWidth="1"/>
    <col min="10742" max="10742" width="29" style="59" customWidth="1"/>
    <col min="10743" max="10743" width="12.140625" style="59" customWidth="1"/>
    <col min="10744" max="10757" width="11.28515625" style="59" customWidth="1"/>
    <col min="10758" max="10996" width="11.42578125" style="59" customWidth="1"/>
    <col min="10997" max="10997" width="65.5703125" style="59" customWidth="1"/>
    <col min="10998" max="10998" width="29" style="59" customWidth="1"/>
    <col min="10999" max="10999" width="12.140625" style="59" customWidth="1"/>
    <col min="11000" max="11013" width="11.28515625" style="59" customWidth="1"/>
    <col min="11014" max="11252" width="11.42578125" style="59" customWidth="1"/>
    <col min="11253" max="11253" width="65.5703125" style="59" customWidth="1"/>
    <col min="11254" max="11254" width="29" style="59" customWidth="1"/>
    <col min="11255" max="11255" width="12.140625" style="59" customWidth="1"/>
    <col min="11256" max="11269" width="11.28515625" style="59" customWidth="1"/>
    <col min="11270" max="11508" width="11.42578125" style="59" customWidth="1"/>
    <col min="11509" max="11509" width="65.5703125" style="59" customWidth="1"/>
    <col min="11510" max="11510" width="29" style="59" customWidth="1"/>
    <col min="11511" max="11511" width="12.140625" style="59" customWidth="1"/>
    <col min="11512" max="11525" width="11.28515625" style="59" customWidth="1"/>
    <col min="11526" max="11764" width="11.42578125" style="59" customWidth="1"/>
    <col min="11765" max="11765" width="65.5703125" style="59" customWidth="1"/>
    <col min="11766" max="11766" width="29" style="59" customWidth="1"/>
    <col min="11767" max="11767" width="12.140625" style="59" customWidth="1"/>
    <col min="11768" max="11781" width="11.28515625" style="59" customWidth="1"/>
    <col min="11782" max="12020" width="11.42578125" style="59" customWidth="1"/>
    <col min="12021" max="12021" width="65.5703125" style="59" customWidth="1"/>
    <col min="12022" max="12022" width="29" style="59" customWidth="1"/>
    <col min="12023" max="12023" width="12.140625" style="59" customWidth="1"/>
    <col min="12024" max="12037" width="11.28515625" style="59" customWidth="1"/>
    <col min="12038" max="12276" width="11.42578125" style="59" customWidth="1"/>
    <col min="12277" max="12277" width="65.5703125" style="59" customWidth="1"/>
    <col min="12278" max="12278" width="29" style="59" customWidth="1"/>
    <col min="12279" max="12279" width="12.140625" style="59" customWidth="1"/>
    <col min="12280" max="12293" width="11.28515625" style="59" customWidth="1"/>
    <col min="12294" max="12532" width="11.42578125" style="59" customWidth="1"/>
    <col min="12533" max="12533" width="65.5703125" style="59" customWidth="1"/>
    <col min="12534" max="12534" width="29" style="59" customWidth="1"/>
    <col min="12535" max="12535" width="12.140625" style="59" customWidth="1"/>
    <col min="12536" max="12549" width="11.28515625" style="59" customWidth="1"/>
    <col min="12550" max="12788" width="11.42578125" style="59" customWidth="1"/>
    <col min="12789" max="12789" width="65.5703125" style="59" customWidth="1"/>
    <col min="12790" max="12790" width="29" style="59" customWidth="1"/>
    <col min="12791" max="12791" width="12.140625" style="59" customWidth="1"/>
    <col min="12792" max="12805" width="11.28515625" style="59" customWidth="1"/>
    <col min="12806" max="13044" width="11.42578125" style="59" customWidth="1"/>
    <col min="13045" max="13045" width="65.5703125" style="59" customWidth="1"/>
    <col min="13046" max="13046" width="29" style="59" customWidth="1"/>
    <col min="13047" max="13047" width="12.140625" style="59" customWidth="1"/>
    <col min="13048" max="13061" width="11.28515625" style="59" customWidth="1"/>
    <col min="13062" max="13300" width="11.42578125" style="59" customWidth="1"/>
    <col min="13301" max="13301" width="65.5703125" style="59" customWidth="1"/>
    <col min="13302" max="13302" width="29" style="59" customWidth="1"/>
    <col min="13303" max="13303" width="12.140625" style="59" customWidth="1"/>
    <col min="13304" max="13317" width="11.28515625" style="59" customWidth="1"/>
    <col min="13318" max="13556" width="11.42578125" style="59" customWidth="1"/>
    <col min="13557" max="13557" width="65.5703125" style="59" customWidth="1"/>
    <col min="13558" max="13558" width="29" style="59" customWidth="1"/>
    <col min="13559" max="13559" width="12.140625" style="59" customWidth="1"/>
    <col min="13560" max="13573" width="11.28515625" style="59" customWidth="1"/>
    <col min="13574" max="13812" width="11.42578125" style="59" customWidth="1"/>
    <col min="13813" max="13813" width="65.5703125" style="59" customWidth="1"/>
    <col min="13814" max="13814" width="29" style="59" customWidth="1"/>
    <col min="13815" max="13815" width="12.140625" style="59" customWidth="1"/>
    <col min="13816" max="13829" width="11.28515625" style="59" customWidth="1"/>
    <col min="13830" max="14068" width="11.42578125" style="59" customWidth="1"/>
    <col min="14069" max="14069" width="65.5703125" style="59" customWidth="1"/>
    <col min="14070" max="14070" width="29" style="59" customWidth="1"/>
    <col min="14071" max="14071" width="12.140625" style="59" customWidth="1"/>
    <col min="14072" max="14085" width="11.28515625" style="59" customWidth="1"/>
    <col min="14086" max="14324" width="11.42578125" style="59" customWidth="1"/>
    <col min="14325" max="14325" width="65.5703125" style="59" customWidth="1"/>
    <col min="14326" max="14326" width="29" style="59" customWidth="1"/>
    <col min="14327" max="14327" width="12.140625" style="59" customWidth="1"/>
    <col min="14328" max="14341" width="11.28515625" style="59" customWidth="1"/>
    <col min="14342" max="14580" width="11.42578125" style="59" customWidth="1"/>
    <col min="14581" max="14581" width="65.5703125" style="59" customWidth="1"/>
    <col min="14582" max="14582" width="29" style="59" customWidth="1"/>
    <col min="14583" max="14583" width="12.140625" style="59" customWidth="1"/>
    <col min="14584" max="14597" width="11.28515625" style="59" customWidth="1"/>
    <col min="14598" max="14836" width="11.42578125" style="59" customWidth="1"/>
    <col min="14837" max="14837" width="65.5703125" style="59" customWidth="1"/>
    <col min="14838" max="14838" width="29" style="59" customWidth="1"/>
    <col min="14839" max="14839" width="12.140625" style="59" customWidth="1"/>
    <col min="14840" max="14853" width="11.28515625" style="59" customWidth="1"/>
    <col min="14854" max="15092" width="11.42578125" style="59" customWidth="1"/>
    <col min="15093" max="15093" width="65.5703125" style="59" customWidth="1"/>
    <col min="15094" max="15094" width="29" style="59" customWidth="1"/>
    <col min="15095" max="15095" width="12.140625" style="59" customWidth="1"/>
    <col min="15096" max="15109" width="11.28515625" style="59" customWidth="1"/>
    <col min="15110" max="15348" width="11.42578125" style="59" customWidth="1"/>
    <col min="15349" max="15349" width="65.5703125" style="59" customWidth="1"/>
    <col min="15350" max="15350" width="29" style="59" customWidth="1"/>
    <col min="15351" max="15351" width="12.140625" style="59" customWidth="1"/>
    <col min="15352" max="15365" width="11.28515625" style="59" customWidth="1"/>
    <col min="15366" max="15604" width="11.42578125" style="59" customWidth="1"/>
    <col min="15605" max="15605" width="65.5703125" style="59" customWidth="1"/>
    <col min="15606" max="15606" width="29" style="59" customWidth="1"/>
    <col min="15607" max="15607" width="12.140625" style="59" customWidth="1"/>
    <col min="15608" max="15621" width="11.28515625" style="59" customWidth="1"/>
    <col min="15622" max="15860" width="11.42578125" style="59" customWidth="1"/>
    <col min="15861" max="15861" width="65.5703125" style="59" customWidth="1"/>
    <col min="15862" max="15862" width="29" style="59" customWidth="1"/>
    <col min="15863" max="15863" width="12.140625" style="59" customWidth="1"/>
    <col min="15864" max="15877" width="11.28515625" style="59" customWidth="1"/>
    <col min="15878" max="16116" width="11.42578125" style="59" customWidth="1"/>
    <col min="16117" max="16117" width="65.5703125" style="59" customWidth="1"/>
    <col min="16118" max="16118" width="29" style="59" customWidth="1"/>
    <col min="16119" max="16119" width="12.140625" style="59" customWidth="1"/>
    <col min="16120" max="16133" width="11.28515625" style="59" customWidth="1"/>
    <col min="16134" max="16384" width="11.42578125" style="59" customWidth="1"/>
  </cols>
  <sheetData>
    <row r="1" spans="1:66" x14ac:dyDescent="0.2">
      <c r="A1" s="60"/>
      <c r="B1" s="61"/>
    </row>
    <row r="5" spans="1:66" x14ac:dyDescent="0.2">
      <c r="H5" s="62"/>
    </row>
    <row r="7" spans="1:66" x14ac:dyDescent="0.2"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</row>
    <row r="8" spans="1:66" x14ac:dyDescent="0.2">
      <c r="A8" s="54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</row>
    <row r="9" spans="1:66" x14ac:dyDescent="0.2">
      <c r="A9" s="54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</row>
    <row r="10" spans="1:66" x14ac:dyDescent="0.2">
      <c r="A10" s="54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</row>
    <row r="11" spans="1:66" x14ac:dyDescent="0.2">
      <c r="A11" s="54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</row>
    <row r="12" spans="1:66" x14ac:dyDescent="0.2">
      <c r="A12" s="54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</row>
    <row r="13" spans="1:66" x14ac:dyDescent="0.2">
      <c r="A13" s="54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</row>
    <row r="14" spans="1:66" x14ac:dyDescent="0.2">
      <c r="A14" s="54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</row>
    <row r="15" spans="1:66" x14ac:dyDescent="0.2">
      <c r="A15" s="54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</row>
    <row r="16" spans="1:66" x14ac:dyDescent="0.2">
      <c r="A16" s="54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</row>
    <row r="17" spans="1:66" x14ac:dyDescent="0.2">
      <c r="A17" s="54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</row>
    <row r="18" spans="1:66" x14ac:dyDescent="0.2">
      <c r="A18" s="54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</row>
    <row r="19" spans="1:66" x14ac:dyDescent="0.2">
      <c r="A19" s="54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</row>
    <row r="20" spans="1:66" x14ac:dyDescent="0.2">
      <c r="A20" s="54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</row>
    <row r="21" spans="1:66" x14ac:dyDescent="0.2">
      <c r="A21" s="54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</row>
    <row r="22" spans="1:66" x14ac:dyDescent="0.2">
      <c r="A22" s="54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</row>
    <row r="23" spans="1:66" x14ac:dyDescent="0.2">
      <c r="A23" s="54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</row>
    <row r="24" spans="1:66" x14ac:dyDescent="0.2">
      <c r="A24" s="54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</row>
    <row r="25" spans="1:66" x14ac:dyDescent="0.2">
      <c r="A25" s="54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</row>
    <row r="26" spans="1:66" x14ac:dyDescent="0.2">
      <c r="A26" s="54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</row>
    <row r="27" spans="1:66" x14ac:dyDescent="0.2">
      <c r="A27" s="54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</row>
    <row r="28" spans="1:66" x14ac:dyDescent="0.2">
      <c r="A28" s="54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</row>
    <row r="29" spans="1:66" x14ac:dyDescent="0.2">
      <c r="A29" s="54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</row>
    <row r="30" spans="1:66" x14ac:dyDescent="0.2">
      <c r="A30" s="54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</row>
    <row r="31" spans="1:66" x14ac:dyDescent="0.2">
      <c r="A31" s="54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</row>
    <row r="32" spans="1:66" x14ac:dyDescent="0.2">
      <c r="A32" s="54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</row>
    <row r="33" spans="1:66" ht="19.5" x14ac:dyDescent="0.2">
      <c r="A33" s="55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</row>
    <row r="34" spans="1:66" x14ac:dyDescent="0.2">
      <c r="B34" s="63"/>
      <c r="C34" s="63"/>
      <c r="D34" s="63"/>
      <c r="E34" s="63"/>
      <c r="F34" s="63"/>
      <c r="G34" s="63"/>
    </row>
    <row r="35" spans="1:66" x14ac:dyDescent="0.2">
      <c r="A35" s="54"/>
      <c r="B35" s="69"/>
      <c r="C35" s="69"/>
      <c r="D35" s="69"/>
      <c r="E35" s="69"/>
      <c r="F35" s="69"/>
      <c r="G35" s="69"/>
    </row>
    <row r="36" spans="1:66" x14ac:dyDescent="0.2">
      <c r="A36" s="54"/>
      <c r="B36" s="69"/>
      <c r="C36" s="69"/>
      <c r="D36" s="69"/>
      <c r="E36" s="69"/>
      <c r="F36" s="69"/>
      <c r="G36" s="69"/>
    </row>
    <row r="37" spans="1:66" x14ac:dyDescent="0.2">
      <c r="A37" s="54"/>
      <c r="B37" s="69"/>
      <c r="C37" s="69"/>
      <c r="D37" s="69"/>
      <c r="E37" s="69"/>
      <c r="F37" s="69"/>
      <c r="G37" s="69"/>
    </row>
    <row r="38" spans="1:66" x14ac:dyDescent="0.2">
      <c r="A38" s="54"/>
      <c r="B38" s="69"/>
      <c r="C38" s="69"/>
      <c r="D38" s="69"/>
      <c r="E38" s="69"/>
      <c r="F38" s="69"/>
      <c r="G38" s="69"/>
    </row>
    <row r="39" spans="1:66" x14ac:dyDescent="0.2">
      <c r="A39" s="54"/>
      <c r="B39" s="69"/>
      <c r="C39" s="69"/>
      <c r="D39" s="69"/>
      <c r="E39" s="69"/>
      <c r="F39" s="69"/>
      <c r="G39" s="69"/>
    </row>
    <row r="40" spans="1:66" x14ac:dyDescent="0.2">
      <c r="A40" s="54"/>
      <c r="B40" s="69"/>
      <c r="C40" s="69"/>
      <c r="D40" s="69"/>
      <c r="E40" s="69"/>
      <c r="F40" s="69"/>
      <c r="G40" s="69"/>
    </row>
    <row r="41" spans="1:66" x14ac:dyDescent="0.2">
      <c r="A41" s="54"/>
      <c r="B41" s="69"/>
      <c r="C41" s="69"/>
      <c r="D41" s="69"/>
      <c r="E41" s="69"/>
      <c r="F41" s="69"/>
      <c r="G41" s="69"/>
    </row>
    <row r="42" spans="1:66" x14ac:dyDescent="0.2">
      <c r="A42" s="54"/>
      <c r="B42" s="69"/>
      <c r="C42" s="69"/>
      <c r="D42" s="69"/>
      <c r="E42" s="69"/>
      <c r="F42" s="69"/>
      <c r="G42" s="69"/>
    </row>
    <row r="43" spans="1:66" x14ac:dyDescent="0.2">
      <c r="A43" s="54"/>
      <c r="B43" s="69"/>
      <c r="C43" s="69"/>
      <c r="D43" s="69"/>
      <c r="E43" s="69"/>
      <c r="F43" s="69"/>
      <c r="G43" s="69"/>
    </row>
    <row r="44" spans="1:66" x14ac:dyDescent="0.2">
      <c r="A44" s="54"/>
      <c r="B44" s="69"/>
      <c r="C44" s="69"/>
      <c r="D44" s="69"/>
      <c r="E44" s="69"/>
      <c r="F44" s="69"/>
      <c r="G44" s="69"/>
    </row>
    <row r="45" spans="1:66" x14ac:dyDescent="0.2">
      <c r="A45" s="54"/>
      <c r="B45" s="69"/>
      <c r="C45" s="69"/>
      <c r="D45" s="69"/>
      <c r="E45" s="69"/>
      <c r="F45" s="69"/>
      <c r="G45" s="69"/>
    </row>
    <row r="46" spans="1:66" x14ac:dyDescent="0.2">
      <c r="A46" s="54"/>
      <c r="B46" s="69"/>
      <c r="C46" s="69"/>
      <c r="D46" s="69"/>
      <c r="E46" s="69"/>
      <c r="F46" s="69"/>
      <c r="G46" s="69"/>
    </row>
    <row r="47" spans="1:66" x14ac:dyDescent="0.2">
      <c r="A47" s="54"/>
      <c r="B47" s="69"/>
      <c r="C47" s="69"/>
      <c r="D47" s="69"/>
      <c r="E47" s="69"/>
      <c r="F47" s="69"/>
      <c r="G47" s="69"/>
    </row>
    <row r="48" spans="1:66" x14ac:dyDescent="0.2">
      <c r="A48" s="54"/>
      <c r="B48" s="69"/>
      <c r="C48" s="69"/>
      <c r="D48" s="69"/>
      <c r="E48" s="69"/>
      <c r="F48" s="69"/>
      <c r="G48" s="69"/>
    </row>
    <row r="49" spans="1:7" x14ac:dyDescent="0.2">
      <c r="A49" s="54"/>
      <c r="B49" s="69"/>
      <c r="C49" s="69"/>
      <c r="D49" s="69"/>
      <c r="E49" s="69"/>
      <c r="F49" s="69"/>
      <c r="G49" s="69"/>
    </row>
    <row r="50" spans="1:7" x14ac:dyDescent="0.2">
      <c r="A50" s="54"/>
      <c r="B50" s="69"/>
      <c r="C50" s="69"/>
      <c r="D50" s="69"/>
      <c r="E50" s="69"/>
      <c r="F50" s="69"/>
      <c r="G50" s="69"/>
    </row>
    <row r="51" spans="1:7" x14ac:dyDescent="0.2">
      <c r="A51" s="54"/>
      <c r="B51" s="69"/>
      <c r="C51" s="69"/>
      <c r="D51" s="69"/>
      <c r="E51" s="69"/>
      <c r="F51" s="69"/>
      <c r="G51" s="69"/>
    </row>
    <row r="52" spans="1:7" x14ac:dyDescent="0.2">
      <c r="A52" s="54"/>
      <c r="B52" s="69"/>
      <c r="C52" s="69"/>
      <c r="D52" s="69"/>
      <c r="E52" s="69"/>
      <c r="F52" s="69"/>
      <c r="G52" s="69"/>
    </row>
    <row r="53" spans="1:7" x14ac:dyDescent="0.2">
      <c r="A53" s="54"/>
      <c r="B53" s="69"/>
      <c r="C53" s="69"/>
      <c r="D53" s="69"/>
      <c r="E53" s="69"/>
      <c r="F53" s="69"/>
      <c r="G53" s="69"/>
    </row>
    <row r="54" spans="1:7" x14ac:dyDescent="0.2">
      <c r="A54" s="54"/>
      <c r="B54" s="69"/>
      <c r="C54" s="69"/>
      <c r="D54" s="69"/>
      <c r="E54" s="69"/>
      <c r="F54" s="69"/>
      <c r="G54" s="69"/>
    </row>
    <row r="55" spans="1:7" x14ac:dyDescent="0.2">
      <c r="A55" s="54"/>
      <c r="B55" s="69"/>
      <c r="C55" s="69"/>
      <c r="D55" s="69"/>
      <c r="E55" s="69"/>
      <c r="F55" s="69"/>
      <c r="G55" s="69"/>
    </row>
    <row r="56" spans="1:7" x14ac:dyDescent="0.2">
      <c r="A56" s="54"/>
      <c r="B56" s="69"/>
      <c r="C56" s="69"/>
      <c r="D56" s="69"/>
      <c r="E56" s="69"/>
      <c r="F56" s="69"/>
      <c r="G56" s="69"/>
    </row>
    <row r="57" spans="1:7" x14ac:dyDescent="0.2">
      <c r="A57" s="54"/>
      <c r="B57" s="69"/>
      <c r="C57" s="69"/>
      <c r="D57" s="69"/>
      <c r="E57" s="69"/>
      <c r="F57" s="69"/>
      <c r="G57" s="69"/>
    </row>
    <row r="58" spans="1:7" x14ac:dyDescent="0.2">
      <c r="A58" s="54"/>
      <c r="B58" s="69"/>
      <c r="C58" s="69"/>
      <c r="D58" s="69"/>
      <c r="E58" s="69"/>
      <c r="F58" s="69"/>
      <c r="G58" s="69"/>
    </row>
    <row r="59" spans="1:7" x14ac:dyDescent="0.2">
      <c r="A59" s="54"/>
      <c r="B59" s="69"/>
      <c r="C59" s="69"/>
      <c r="D59" s="69"/>
      <c r="E59" s="69"/>
      <c r="F59" s="69"/>
      <c r="G59" s="69"/>
    </row>
    <row r="60" spans="1:7" x14ac:dyDescent="0.2">
      <c r="B60" s="63"/>
      <c r="C60" s="63"/>
      <c r="D60" s="63"/>
      <c r="E60" s="63"/>
      <c r="F60" s="63"/>
      <c r="G60" s="63"/>
    </row>
    <row r="61" spans="1:7" x14ac:dyDescent="0.2">
      <c r="A61" s="54"/>
      <c r="B61" s="69"/>
      <c r="C61" s="69"/>
      <c r="D61" s="69"/>
      <c r="E61" s="69"/>
      <c r="F61" s="69"/>
      <c r="G61" s="69"/>
    </row>
    <row r="62" spans="1:7" x14ac:dyDescent="0.2">
      <c r="A62" s="54"/>
      <c r="B62" s="69"/>
      <c r="C62" s="69"/>
      <c r="D62" s="69"/>
      <c r="E62" s="69"/>
      <c r="F62" s="69"/>
      <c r="G62" s="69"/>
    </row>
    <row r="63" spans="1:7" x14ac:dyDescent="0.2">
      <c r="A63" s="54"/>
      <c r="B63" s="69"/>
      <c r="C63" s="69"/>
      <c r="D63" s="69"/>
      <c r="E63" s="69"/>
      <c r="F63" s="69"/>
      <c r="G63" s="69"/>
    </row>
    <row r="64" spans="1:7" x14ac:dyDescent="0.2">
      <c r="A64" s="54"/>
      <c r="B64" s="69"/>
      <c r="C64" s="69"/>
      <c r="D64" s="69"/>
      <c r="E64" s="69"/>
      <c r="F64" s="69"/>
      <c r="G64" s="69"/>
    </row>
    <row r="65" spans="1:7" x14ac:dyDescent="0.2">
      <c r="A65" s="54"/>
      <c r="B65" s="69"/>
      <c r="C65" s="69"/>
      <c r="D65" s="69"/>
      <c r="E65" s="69"/>
      <c r="F65" s="69"/>
      <c r="G65" s="69"/>
    </row>
    <row r="66" spans="1:7" x14ac:dyDescent="0.2">
      <c r="A66" s="54"/>
      <c r="B66" s="69"/>
      <c r="C66" s="69"/>
      <c r="D66" s="69"/>
      <c r="E66" s="69"/>
      <c r="F66" s="69"/>
      <c r="G66" s="69"/>
    </row>
    <row r="67" spans="1:7" x14ac:dyDescent="0.2">
      <c r="A67" s="54"/>
      <c r="B67" s="69"/>
      <c r="C67" s="69"/>
      <c r="D67" s="69"/>
      <c r="E67" s="69"/>
      <c r="F67" s="69"/>
      <c r="G67" s="69"/>
    </row>
    <row r="68" spans="1:7" x14ac:dyDescent="0.2">
      <c r="A68" s="54"/>
      <c r="B68" s="69"/>
      <c r="C68" s="69"/>
      <c r="D68" s="69"/>
      <c r="E68" s="69"/>
      <c r="F68" s="69"/>
      <c r="G68" s="69"/>
    </row>
    <row r="69" spans="1:7" x14ac:dyDescent="0.2">
      <c r="A69" s="54"/>
      <c r="B69" s="69"/>
      <c r="C69" s="69"/>
      <c r="D69" s="69"/>
      <c r="E69" s="69"/>
      <c r="F69" s="69"/>
      <c r="G69" s="69"/>
    </row>
    <row r="70" spans="1:7" x14ac:dyDescent="0.2">
      <c r="A70" s="54"/>
      <c r="B70" s="69"/>
      <c r="C70" s="69"/>
      <c r="D70" s="69"/>
      <c r="E70" s="69"/>
      <c r="F70" s="69"/>
      <c r="G70" s="69"/>
    </row>
    <row r="71" spans="1:7" x14ac:dyDescent="0.2">
      <c r="A71" s="54"/>
      <c r="B71" s="69"/>
      <c r="C71" s="69"/>
      <c r="D71" s="69"/>
      <c r="E71" s="69"/>
      <c r="F71" s="69"/>
      <c r="G71" s="69"/>
    </row>
    <row r="72" spans="1:7" x14ac:dyDescent="0.2">
      <c r="A72" s="54"/>
      <c r="B72" s="69"/>
      <c r="C72" s="69"/>
      <c r="D72" s="69"/>
      <c r="E72" s="69"/>
      <c r="F72" s="69"/>
      <c r="G72" s="69"/>
    </row>
    <row r="73" spans="1:7" x14ac:dyDescent="0.2">
      <c r="A73" s="54"/>
      <c r="B73" s="69"/>
      <c r="C73" s="69"/>
      <c r="D73" s="69"/>
      <c r="E73" s="69"/>
      <c r="F73" s="69"/>
      <c r="G73" s="69"/>
    </row>
    <row r="74" spans="1:7" x14ac:dyDescent="0.2">
      <c r="A74" s="54"/>
      <c r="B74" s="69"/>
      <c r="C74" s="69"/>
      <c r="D74" s="69"/>
      <c r="E74" s="69"/>
      <c r="F74" s="69"/>
      <c r="G74" s="69"/>
    </row>
    <row r="75" spans="1:7" x14ac:dyDescent="0.2">
      <c r="A75" s="54"/>
      <c r="B75" s="69"/>
      <c r="C75" s="69"/>
      <c r="D75" s="69"/>
      <c r="E75" s="69"/>
      <c r="F75" s="69"/>
      <c r="G75" s="69"/>
    </row>
    <row r="76" spans="1:7" x14ac:dyDescent="0.2">
      <c r="A76" s="54"/>
      <c r="B76" s="69"/>
      <c r="C76" s="69"/>
      <c r="D76" s="69"/>
      <c r="E76" s="69"/>
      <c r="F76" s="69"/>
      <c r="G76" s="69"/>
    </row>
    <row r="77" spans="1:7" x14ac:dyDescent="0.2">
      <c r="A77" s="54"/>
      <c r="B77" s="69"/>
      <c r="C77" s="69"/>
      <c r="D77" s="69"/>
      <c r="E77" s="69"/>
      <c r="F77" s="69"/>
      <c r="G77" s="69"/>
    </row>
    <row r="78" spans="1:7" x14ac:dyDescent="0.2">
      <c r="A78" s="54"/>
      <c r="B78" s="69"/>
      <c r="C78" s="69"/>
      <c r="D78" s="69"/>
      <c r="E78" s="69"/>
      <c r="F78" s="69"/>
      <c r="G78" s="69"/>
    </row>
    <row r="79" spans="1:7" x14ac:dyDescent="0.2">
      <c r="A79" s="54"/>
      <c r="B79" s="69"/>
      <c r="C79" s="69"/>
      <c r="D79" s="69"/>
      <c r="E79" s="69"/>
      <c r="F79" s="69"/>
      <c r="G79" s="69"/>
    </row>
    <row r="80" spans="1:7" x14ac:dyDescent="0.2">
      <c r="A80" s="54"/>
      <c r="B80" s="69"/>
      <c r="C80" s="69"/>
      <c r="D80" s="69"/>
      <c r="E80" s="69"/>
      <c r="F80" s="69"/>
      <c r="G80" s="69"/>
    </row>
    <row r="81" spans="1:7" x14ac:dyDescent="0.2">
      <c r="A81" s="54"/>
      <c r="B81" s="69"/>
      <c r="C81" s="69"/>
      <c r="D81" s="69"/>
      <c r="E81" s="69"/>
      <c r="F81" s="69"/>
      <c r="G81" s="69"/>
    </row>
    <row r="82" spans="1:7" x14ac:dyDescent="0.2">
      <c r="A82" s="54"/>
      <c r="B82" s="69"/>
      <c r="C82" s="69"/>
      <c r="D82" s="69"/>
      <c r="E82" s="69"/>
      <c r="F82" s="69"/>
      <c r="G82" s="69"/>
    </row>
    <row r="83" spans="1:7" x14ac:dyDescent="0.2">
      <c r="A83" s="54"/>
      <c r="B83" s="69"/>
      <c r="C83" s="69"/>
      <c r="D83" s="69"/>
      <c r="E83" s="69"/>
      <c r="F83" s="69"/>
      <c r="G83" s="69"/>
    </row>
    <row r="84" spans="1:7" x14ac:dyDescent="0.2">
      <c r="A84" s="54"/>
      <c r="B84" s="69"/>
      <c r="C84" s="69"/>
      <c r="D84" s="69"/>
      <c r="E84" s="69"/>
      <c r="F84" s="69"/>
      <c r="G84" s="69"/>
    </row>
    <row r="85" spans="1:7" x14ac:dyDescent="0.2">
      <c r="A85" s="54"/>
      <c r="B85" s="69"/>
      <c r="C85" s="69"/>
      <c r="D85" s="69"/>
      <c r="E85" s="69"/>
      <c r="F85" s="69"/>
      <c r="G85" s="69"/>
    </row>
    <row r="86" spans="1:7" x14ac:dyDescent="0.2">
      <c r="B86" s="63"/>
      <c r="C86" s="63"/>
      <c r="D86" s="63"/>
      <c r="E86" s="63"/>
      <c r="F86" s="63"/>
      <c r="G86" s="63"/>
    </row>
    <row r="87" spans="1:7" x14ac:dyDescent="0.2">
      <c r="A87" s="54"/>
      <c r="B87" s="69"/>
      <c r="C87" s="69"/>
      <c r="D87" s="69"/>
      <c r="E87" s="69"/>
      <c r="F87" s="69"/>
      <c r="G87" s="69"/>
    </row>
    <row r="88" spans="1:7" x14ac:dyDescent="0.2">
      <c r="A88" s="54"/>
      <c r="B88" s="69"/>
      <c r="C88" s="69"/>
      <c r="D88" s="69"/>
      <c r="E88" s="69"/>
      <c r="F88" s="69"/>
      <c r="G88" s="69"/>
    </row>
    <row r="89" spans="1:7" x14ac:dyDescent="0.2">
      <c r="A89" s="54"/>
      <c r="B89" s="69"/>
      <c r="C89" s="69"/>
      <c r="D89" s="69"/>
      <c r="E89" s="69"/>
      <c r="F89" s="69"/>
      <c r="G89" s="69"/>
    </row>
    <row r="90" spans="1:7" x14ac:dyDescent="0.2">
      <c r="A90" s="54"/>
      <c r="B90" s="69"/>
      <c r="C90" s="69"/>
      <c r="D90" s="69"/>
      <c r="E90" s="69"/>
      <c r="F90" s="69"/>
      <c r="G90" s="69"/>
    </row>
    <row r="91" spans="1:7" x14ac:dyDescent="0.2">
      <c r="A91" s="54"/>
      <c r="B91" s="69"/>
      <c r="C91" s="69"/>
      <c r="D91" s="69"/>
      <c r="E91" s="69"/>
      <c r="F91" s="69"/>
      <c r="G91" s="69"/>
    </row>
    <row r="92" spans="1:7" x14ac:dyDescent="0.2">
      <c r="A92" s="54"/>
      <c r="B92" s="69"/>
      <c r="C92" s="69"/>
      <c r="D92" s="69"/>
      <c r="E92" s="69"/>
      <c r="F92" s="69"/>
      <c r="G92" s="69"/>
    </row>
    <row r="93" spans="1:7" x14ac:dyDescent="0.2">
      <c r="A93" s="54"/>
      <c r="B93" s="69"/>
      <c r="C93" s="69"/>
      <c r="D93" s="69"/>
      <c r="E93" s="69"/>
      <c r="F93" s="69"/>
      <c r="G93" s="69"/>
    </row>
    <row r="94" spans="1:7" x14ac:dyDescent="0.2">
      <c r="A94" s="54"/>
      <c r="B94" s="69"/>
      <c r="C94" s="69"/>
      <c r="D94" s="69"/>
      <c r="E94" s="69"/>
      <c r="F94" s="69"/>
      <c r="G94" s="69"/>
    </row>
    <row r="95" spans="1:7" x14ac:dyDescent="0.2">
      <c r="A95" s="54"/>
      <c r="B95" s="69"/>
      <c r="C95" s="69"/>
      <c r="D95" s="69"/>
      <c r="E95" s="69"/>
      <c r="F95" s="69"/>
      <c r="G95" s="69"/>
    </row>
    <row r="96" spans="1:7" x14ac:dyDescent="0.2">
      <c r="A96" s="54"/>
      <c r="B96" s="69"/>
      <c r="C96" s="69"/>
      <c r="D96" s="69"/>
      <c r="E96" s="69"/>
      <c r="F96" s="69"/>
      <c r="G96" s="69"/>
    </row>
    <row r="97" spans="1:7" x14ac:dyDescent="0.2">
      <c r="A97" s="54"/>
      <c r="B97" s="69"/>
      <c r="C97" s="69"/>
      <c r="D97" s="69"/>
      <c r="E97" s="69"/>
      <c r="F97" s="69"/>
      <c r="G97" s="69"/>
    </row>
    <row r="98" spans="1:7" x14ac:dyDescent="0.2">
      <c r="A98" s="54"/>
      <c r="B98" s="69"/>
      <c r="C98" s="69"/>
      <c r="D98" s="69"/>
      <c r="E98" s="69"/>
      <c r="F98" s="69"/>
      <c r="G98" s="69"/>
    </row>
    <row r="99" spans="1:7" x14ac:dyDescent="0.2">
      <c r="A99" s="54"/>
      <c r="B99" s="69"/>
      <c r="C99" s="69"/>
      <c r="D99" s="69"/>
      <c r="E99" s="69"/>
      <c r="F99" s="69"/>
      <c r="G99" s="69"/>
    </row>
    <row r="100" spans="1:7" x14ac:dyDescent="0.2">
      <c r="A100" s="54"/>
      <c r="B100" s="69"/>
      <c r="C100" s="69"/>
      <c r="D100" s="69"/>
      <c r="E100" s="69"/>
      <c r="F100" s="69"/>
      <c r="G100" s="69"/>
    </row>
    <row r="101" spans="1:7" x14ac:dyDescent="0.2">
      <c r="A101" s="54"/>
      <c r="B101" s="69"/>
      <c r="C101" s="69"/>
      <c r="D101" s="69"/>
      <c r="E101" s="69"/>
      <c r="F101" s="69"/>
      <c r="G101" s="69"/>
    </row>
    <row r="102" spans="1:7" x14ac:dyDescent="0.2">
      <c r="A102" s="54"/>
      <c r="B102" s="69"/>
      <c r="C102" s="69"/>
      <c r="D102" s="69"/>
      <c r="E102" s="69"/>
      <c r="F102" s="69"/>
      <c r="G102" s="69"/>
    </row>
    <row r="103" spans="1:7" x14ac:dyDescent="0.2">
      <c r="A103" s="54"/>
      <c r="B103" s="69"/>
      <c r="C103" s="69"/>
      <c r="D103" s="69"/>
      <c r="E103" s="69"/>
      <c r="F103" s="69"/>
      <c r="G103" s="69"/>
    </row>
    <row r="104" spans="1:7" x14ac:dyDescent="0.2">
      <c r="A104" s="54"/>
      <c r="B104" s="69"/>
      <c r="C104" s="69"/>
      <c r="D104" s="69"/>
      <c r="E104" s="69"/>
      <c r="F104" s="69"/>
      <c r="G104" s="69"/>
    </row>
    <row r="105" spans="1:7" x14ac:dyDescent="0.2">
      <c r="A105" s="54"/>
      <c r="B105" s="69"/>
      <c r="C105" s="69"/>
      <c r="D105" s="69"/>
      <c r="E105" s="69"/>
      <c r="F105" s="69"/>
      <c r="G105" s="69"/>
    </row>
    <row r="106" spans="1:7" x14ac:dyDescent="0.2">
      <c r="A106" s="54"/>
      <c r="B106" s="69"/>
      <c r="C106" s="69"/>
      <c r="D106" s="69"/>
      <c r="E106" s="69"/>
      <c r="F106" s="69"/>
      <c r="G106" s="69"/>
    </row>
    <row r="107" spans="1:7" x14ac:dyDescent="0.2">
      <c r="A107" s="54"/>
      <c r="B107" s="69"/>
      <c r="C107" s="69"/>
      <c r="D107" s="69"/>
      <c r="E107" s="69"/>
      <c r="F107" s="69"/>
      <c r="G107" s="69"/>
    </row>
    <row r="108" spans="1:7" x14ac:dyDescent="0.2">
      <c r="A108" s="54"/>
      <c r="B108" s="69"/>
      <c r="C108" s="69"/>
      <c r="D108" s="69"/>
      <c r="E108" s="69"/>
      <c r="F108" s="69"/>
      <c r="G108" s="69"/>
    </row>
    <row r="109" spans="1:7" x14ac:dyDescent="0.2">
      <c r="A109" s="54"/>
      <c r="B109" s="69"/>
      <c r="C109" s="69"/>
      <c r="D109" s="69"/>
      <c r="E109" s="69"/>
      <c r="F109" s="69"/>
      <c r="G109" s="69"/>
    </row>
    <row r="110" spans="1:7" x14ac:dyDescent="0.2">
      <c r="A110" s="54"/>
      <c r="B110" s="69"/>
      <c r="C110" s="69"/>
      <c r="D110" s="69"/>
      <c r="E110" s="69"/>
      <c r="F110" s="69"/>
      <c r="G110" s="69"/>
    </row>
    <row r="111" spans="1:7" x14ac:dyDescent="0.2">
      <c r="A111" s="54"/>
      <c r="B111" s="69"/>
      <c r="C111" s="69"/>
      <c r="D111" s="69"/>
      <c r="E111" s="69"/>
      <c r="F111" s="69"/>
      <c r="G111" s="69"/>
    </row>
    <row r="112" spans="1:7" x14ac:dyDescent="0.2">
      <c r="B112" s="63"/>
      <c r="C112" s="63"/>
      <c r="D112" s="63"/>
      <c r="E112" s="63"/>
      <c r="F112" s="63"/>
      <c r="G112" s="63"/>
    </row>
    <row r="113" spans="1:7" x14ac:dyDescent="0.2">
      <c r="A113" s="54"/>
      <c r="B113" s="69"/>
      <c r="C113" s="69"/>
      <c r="D113" s="69"/>
      <c r="E113" s="69"/>
      <c r="F113" s="69"/>
      <c r="G113" s="69"/>
    </row>
    <row r="114" spans="1:7" x14ac:dyDescent="0.2">
      <c r="A114" s="54"/>
      <c r="B114" s="69"/>
      <c r="C114" s="69"/>
      <c r="D114" s="69"/>
      <c r="E114" s="69"/>
      <c r="F114" s="69"/>
      <c r="G114" s="69"/>
    </row>
    <row r="115" spans="1:7" x14ac:dyDescent="0.2">
      <c r="A115" s="54"/>
      <c r="B115" s="69"/>
      <c r="C115" s="69"/>
      <c r="D115" s="69"/>
      <c r="E115" s="69"/>
      <c r="F115" s="69"/>
      <c r="G115" s="69"/>
    </row>
    <row r="116" spans="1:7" x14ac:dyDescent="0.2">
      <c r="A116" s="54"/>
      <c r="B116" s="69"/>
      <c r="C116" s="69"/>
      <c r="D116" s="69"/>
      <c r="E116" s="69"/>
      <c r="F116" s="69"/>
      <c r="G116" s="69"/>
    </row>
    <row r="117" spans="1:7" x14ac:dyDescent="0.2">
      <c r="A117" s="54"/>
      <c r="B117" s="69"/>
      <c r="C117" s="69"/>
      <c r="D117" s="69"/>
      <c r="E117" s="69"/>
      <c r="F117" s="69"/>
      <c r="G117" s="69"/>
    </row>
    <row r="118" spans="1:7" x14ac:dyDescent="0.2">
      <c r="A118" s="54"/>
      <c r="B118" s="69"/>
      <c r="C118" s="69"/>
      <c r="D118" s="69"/>
      <c r="E118" s="69"/>
      <c r="F118" s="69"/>
      <c r="G118" s="69"/>
    </row>
    <row r="119" spans="1:7" x14ac:dyDescent="0.2">
      <c r="A119" s="54"/>
      <c r="B119" s="69"/>
      <c r="C119" s="69"/>
      <c r="D119" s="69"/>
      <c r="E119" s="69"/>
      <c r="F119" s="69"/>
      <c r="G119" s="69"/>
    </row>
    <row r="120" spans="1:7" x14ac:dyDescent="0.2">
      <c r="A120" s="54"/>
      <c r="B120" s="69"/>
      <c r="C120" s="69"/>
      <c r="D120" s="69"/>
      <c r="E120" s="69"/>
      <c r="F120" s="69"/>
      <c r="G120" s="69"/>
    </row>
    <row r="121" spans="1:7" x14ac:dyDescent="0.2">
      <c r="A121" s="54"/>
      <c r="B121" s="69"/>
      <c r="C121" s="69"/>
      <c r="D121" s="69"/>
      <c r="E121" s="69"/>
      <c r="F121" s="69"/>
      <c r="G121" s="69"/>
    </row>
    <row r="122" spans="1:7" x14ac:dyDescent="0.2">
      <c r="A122" s="54"/>
      <c r="B122" s="69"/>
      <c r="C122" s="69"/>
      <c r="D122" s="69"/>
      <c r="E122" s="69"/>
      <c r="F122" s="69"/>
      <c r="G122" s="69"/>
    </row>
    <row r="123" spans="1:7" x14ac:dyDescent="0.2">
      <c r="A123" s="54"/>
      <c r="B123" s="69"/>
      <c r="C123" s="69"/>
      <c r="D123" s="69"/>
      <c r="E123" s="69"/>
      <c r="F123" s="69"/>
      <c r="G123" s="69"/>
    </row>
    <row r="124" spans="1:7" x14ac:dyDescent="0.2">
      <c r="A124" s="54"/>
      <c r="B124" s="69"/>
      <c r="C124" s="69"/>
      <c r="D124" s="69"/>
      <c r="E124" s="69"/>
      <c r="F124" s="69"/>
      <c r="G124" s="69"/>
    </row>
    <row r="125" spans="1:7" x14ac:dyDescent="0.2">
      <c r="A125" s="54"/>
      <c r="B125" s="69"/>
      <c r="C125" s="69"/>
      <c r="D125" s="69"/>
      <c r="E125" s="69"/>
      <c r="F125" s="69"/>
      <c r="G125" s="69"/>
    </row>
    <row r="126" spans="1:7" x14ac:dyDescent="0.2">
      <c r="A126" s="54"/>
      <c r="B126" s="69"/>
      <c r="C126" s="69"/>
      <c r="D126" s="69"/>
      <c r="E126" s="69"/>
      <c r="F126" s="69"/>
      <c r="G126" s="69"/>
    </row>
    <row r="127" spans="1:7" x14ac:dyDescent="0.2">
      <c r="A127" s="54"/>
      <c r="B127" s="69"/>
      <c r="C127" s="69"/>
      <c r="D127" s="69"/>
      <c r="E127" s="69"/>
      <c r="F127" s="69"/>
      <c r="G127" s="69"/>
    </row>
    <row r="128" spans="1:7" x14ac:dyDescent="0.2">
      <c r="A128" s="54"/>
      <c r="B128" s="69"/>
      <c r="C128" s="69"/>
      <c r="D128" s="69"/>
      <c r="E128" s="69"/>
      <c r="F128" s="69"/>
      <c r="G128" s="69"/>
    </row>
    <row r="129" spans="1:7" x14ac:dyDescent="0.2">
      <c r="A129" s="54"/>
      <c r="B129" s="69"/>
      <c r="C129" s="69"/>
      <c r="D129" s="69"/>
      <c r="E129" s="69"/>
      <c r="F129" s="69"/>
      <c r="G129" s="69"/>
    </row>
    <row r="130" spans="1:7" x14ac:dyDescent="0.2">
      <c r="A130" s="54"/>
      <c r="B130" s="69"/>
      <c r="C130" s="69"/>
      <c r="D130" s="69"/>
      <c r="E130" s="69"/>
      <c r="F130" s="69"/>
      <c r="G130" s="69"/>
    </row>
    <row r="131" spans="1:7" x14ac:dyDescent="0.2">
      <c r="A131" s="54"/>
      <c r="B131" s="69"/>
      <c r="C131" s="69"/>
      <c r="D131" s="69"/>
      <c r="E131" s="69"/>
      <c r="F131" s="69"/>
      <c r="G131" s="69"/>
    </row>
    <row r="132" spans="1:7" x14ac:dyDescent="0.2">
      <c r="A132" s="54"/>
      <c r="B132" s="69"/>
      <c r="C132" s="69"/>
      <c r="D132" s="69"/>
      <c r="E132" s="69"/>
      <c r="F132" s="69"/>
      <c r="G132" s="69"/>
    </row>
    <row r="133" spans="1:7" x14ac:dyDescent="0.2">
      <c r="A133" s="54"/>
      <c r="B133" s="69"/>
      <c r="C133" s="69"/>
      <c r="D133" s="69"/>
      <c r="E133" s="69"/>
      <c r="F133" s="69"/>
      <c r="G133" s="69"/>
    </row>
    <row r="134" spans="1:7" x14ac:dyDescent="0.2">
      <c r="A134" s="54"/>
      <c r="B134" s="69"/>
      <c r="C134" s="69"/>
      <c r="D134" s="69"/>
      <c r="E134" s="69"/>
      <c r="F134" s="69"/>
      <c r="G134" s="69"/>
    </row>
    <row r="135" spans="1:7" x14ac:dyDescent="0.2">
      <c r="A135" s="54"/>
      <c r="B135" s="69"/>
      <c r="C135" s="69"/>
      <c r="D135" s="69"/>
      <c r="E135" s="69"/>
      <c r="F135" s="69"/>
      <c r="G135" s="69"/>
    </row>
    <row r="136" spans="1:7" x14ac:dyDescent="0.2">
      <c r="A136" s="54"/>
      <c r="B136" s="69"/>
      <c r="C136" s="69"/>
      <c r="D136" s="69"/>
      <c r="E136" s="69"/>
      <c r="F136" s="69"/>
      <c r="G136" s="69"/>
    </row>
    <row r="137" spans="1:7" x14ac:dyDescent="0.2">
      <c r="A137" s="54"/>
      <c r="B137" s="69"/>
      <c r="C137" s="69"/>
      <c r="D137" s="69"/>
      <c r="E137" s="69"/>
      <c r="F137" s="69"/>
      <c r="G137" s="69"/>
    </row>
    <row r="138" spans="1:7" x14ac:dyDescent="0.2">
      <c r="B138" s="63"/>
      <c r="C138" s="63"/>
      <c r="D138" s="63"/>
      <c r="E138" s="63"/>
      <c r="F138" s="63"/>
      <c r="G138" s="63"/>
    </row>
    <row r="139" spans="1:7" x14ac:dyDescent="0.2">
      <c r="A139" s="54"/>
      <c r="B139" s="69"/>
      <c r="C139" s="69"/>
      <c r="D139" s="69"/>
      <c r="E139" s="69"/>
      <c r="F139" s="69"/>
      <c r="G139" s="69"/>
    </row>
    <row r="140" spans="1:7" x14ac:dyDescent="0.2">
      <c r="A140" s="54"/>
      <c r="B140" s="69"/>
      <c r="C140" s="69"/>
      <c r="D140" s="69"/>
      <c r="E140" s="69"/>
      <c r="F140" s="69"/>
      <c r="G140" s="69"/>
    </row>
    <row r="141" spans="1:7" x14ac:dyDescent="0.2">
      <c r="A141" s="54"/>
      <c r="B141" s="69"/>
      <c r="C141" s="69"/>
      <c r="D141" s="69"/>
      <c r="E141" s="69"/>
      <c r="F141" s="69"/>
      <c r="G141" s="69"/>
    </row>
    <row r="142" spans="1:7" x14ac:dyDescent="0.2">
      <c r="A142" s="54"/>
      <c r="B142" s="69"/>
      <c r="C142" s="69"/>
      <c r="D142" s="69"/>
      <c r="E142" s="69"/>
      <c r="F142" s="69"/>
      <c r="G142" s="69"/>
    </row>
    <row r="143" spans="1:7" x14ac:dyDescent="0.2">
      <c r="A143" s="54"/>
      <c r="B143" s="69"/>
      <c r="C143" s="69"/>
      <c r="D143" s="69"/>
      <c r="E143" s="69"/>
      <c r="F143" s="69"/>
      <c r="G143" s="69"/>
    </row>
    <row r="144" spans="1:7" x14ac:dyDescent="0.2">
      <c r="A144" s="54"/>
      <c r="B144" s="69"/>
      <c r="C144" s="69"/>
      <c r="D144" s="69"/>
      <c r="E144" s="69"/>
      <c r="F144" s="69"/>
      <c r="G144" s="69"/>
    </row>
    <row r="145" spans="1:7" x14ac:dyDescent="0.2">
      <c r="A145" s="54"/>
      <c r="B145" s="69"/>
      <c r="C145" s="69"/>
      <c r="D145" s="69"/>
      <c r="E145" s="69"/>
      <c r="F145" s="69"/>
      <c r="G145" s="69"/>
    </row>
    <row r="146" spans="1:7" x14ac:dyDescent="0.2">
      <c r="A146" s="54"/>
      <c r="B146" s="69"/>
      <c r="C146" s="69"/>
      <c r="D146" s="69"/>
      <c r="E146" s="69"/>
      <c r="F146" s="69"/>
      <c r="G146" s="69"/>
    </row>
    <row r="147" spans="1:7" x14ac:dyDescent="0.2">
      <c r="A147" s="54"/>
      <c r="B147" s="69"/>
      <c r="C147" s="69"/>
      <c r="D147" s="69"/>
      <c r="E147" s="69"/>
      <c r="F147" s="69"/>
      <c r="G147" s="69"/>
    </row>
    <row r="148" spans="1:7" x14ac:dyDescent="0.2">
      <c r="A148" s="54"/>
      <c r="B148" s="69"/>
      <c r="C148" s="69"/>
      <c r="D148" s="69"/>
      <c r="E148" s="69"/>
      <c r="F148" s="69"/>
      <c r="G148" s="69"/>
    </row>
    <row r="149" spans="1:7" x14ac:dyDescent="0.2">
      <c r="A149" s="54"/>
      <c r="B149" s="69"/>
      <c r="C149" s="69"/>
      <c r="D149" s="69"/>
      <c r="E149" s="69"/>
      <c r="F149" s="69"/>
      <c r="G149" s="69"/>
    </row>
    <row r="150" spans="1:7" x14ac:dyDescent="0.2">
      <c r="A150" s="54"/>
      <c r="B150" s="69"/>
      <c r="C150" s="69"/>
      <c r="D150" s="69"/>
      <c r="E150" s="69"/>
      <c r="F150" s="69"/>
      <c r="G150" s="69"/>
    </row>
    <row r="151" spans="1:7" x14ac:dyDescent="0.2">
      <c r="A151" s="54"/>
      <c r="B151" s="69"/>
      <c r="C151" s="69"/>
      <c r="D151" s="69"/>
      <c r="E151" s="69"/>
      <c r="F151" s="69"/>
      <c r="G151" s="69"/>
    </row>
    <row r="152" spans="1:7" x14ac:dyDescent="0.2">
      <c r="A152" s="54"/>
      <c r="B152" s="69"/>
      <c r="C152" s="69"/>
      <c r="D152" s="69"/>
      <c r="E152" s="69"/>
      <c r="F152" s="69"/>
      <c r="G152" s="69"/>
    </row>
    <row r="153" spans="1:7" x14ac:dyDescent="0.2">
      <c r="A153" s="54"/>
      <c r="B153" s="69"/>
      <c r="C153" s="69"/>
      <c r="D153" s="69"/>
      <c r="E153" s="69"/>
      <c r="F153" s="69"/>
      <c r="G153" s="69"/>
    </row>
    <row r="154" spans="1:7" x14ac:dyDescent="0.2">
      <c r="A154" s="54"/>
      <c r="B154" s="69"/>
      <c r="C154" s="69"/>
      <c r="D154" s="69"/>
      <c r="E154" s="69"/>
      <c r="F154" s="69"/>
      <c r="G154" s="69"/>
    </row>
    <row r="155" spans="1:7" x14ac:dyDescent="0.2">
      <c r="A155" s="54"/>
      <c r="B155" s="69"/>
      <c r="C155" s="69"/>
      <c r="D155" s="69"/>
      <c r="E155" s="69"/>
      <c r="F155" s="69"/>
      <c r="G155" s="69"/>
    </row>
    <row r="156" spans="1:7" x14ac:dyDescent="0.2">
      <c r="A156" s="54"/>
      <c r="B156" s="69"/>
      <c r="C156" s="69"/>
      <c r="D156" s="69"/>
      <c r="E156" s="69"/>
      <c r="F156" s="69"/>
      <c r="G156" s="69"/>
    </row>
    <row r="157" spans="1:7" x14ac:dyDescent="0.2">
      <c r="A157" s="54"/>
      <c r="B157" s="69"/>
      <c r="C157" s="69"/>
      <c r="D157" s="69"/>
      <c r="E157" s="69"/>
      <c r="F157" s="69"/>
      <c r="G157" s="69"/>
    </row>
    <row r="158" spans="1:7" x14ac:dyDescent="0.2">
      <c r="A158" s="54"/>
      <c r="B158" s="69"/>
      <c r="C158" s="69"/>
      <c r="D158" s="69"/>
      <c r="E158" s="69"/>
      <c r="F158" s="69"/>
      <c r="G158" s="69"/>
    </row>
    <row r="159" spans="1:7" x14ac:dyDescent="0.2">
      <c r="A159" s="54"/>
      <c r="B159" s="69"/>
      <c r="C159" s="69"/>
      <c r="D159" s="69"/>
      <c r="E159" s="69"/>
      <c r="F159" s="69"/>
      <c r="G159" s="69"/>
    </row>
    <row r="160" spans="1:7" x14ac:dyDescent="0.2">
      <c r="A160" s="54"/>
      <c r="B160" s="69"/>
      <c r="C160" s="69"/>
      <c r="D160" s="69"/>
      <c r="E160" s="69"/>
      <c r="F160" s="69"/>
      <c r="G160" s="69"/>
    </row>
    <row r="161" spans="1:7" x14ac:dyDescent="0.2">
      <c r="A161" s="54"/>
      <c r="B161" s="69"/>
      <c r="C161" s="69"/>
      <c r="D161" s="69"/>
      <c r="E161" s="69"/>
      <c r="F161" s="69"/>
      <c r="G161" s="69"/>
    </row>
    <row r="162" spans="1:7" x14ac:dyDescent="0.2">
      <c r="A162" s="54"/>
      <c r="B162" s="69"/>
      <c r="C162" s="69"/>
      <c r="D162" s="69"/>
      <c r="E162" s="69"/>
      <c r="F162" s="69"/>
      <c r="G162" s="69"/>
    </row>
    <row r="163" spans="1:7" x14ac:dyDescent="0.2">
      <c r="A163" s="54"/>
      <c r="B163" s="69"/>
      <c r="C163" s="69"/>
      <c r="D163" s="69"/>
      <c r="E163" s="69"/>
      <c r="F163" s="69"/>
      <c r="G163" s="69"/>
    </row>
    <row r="164" spans="1:7" x14ac:dyDescent="0.2">
      <c r="B164" s="63"/>
      <c r="C164" s="63"/>
      <c r="D164" s="63"/>
      <c r="E164" s="63"/>
      <c r="F164" s="63"/>
      <c r="G164" s="63"/>
    </row>
    <row r="165" spans="1:7" x14ac:dyDescent="0.2">
      <c r="A165" s="54"/>
      <c r="B165" s="69"/>
      <c r="C165" s="69"/>
      <c r="D165" s="69"/>
      <c r="E165" s="69"/>
      <c r="F165" s="69"/>
      <c r="G165" s="69"/>
    </row>
    <row r="166" spans="1:7" x14ac:dyDescent="0.2">
      <c r="A166" s="54"/>
      <c r="B166" s="69"/>
      <c r="C166" s="69"/>
      <c r="D166" s="69"/>
      <c r="E166" s="69"/>
      <c r="F166" s="69"/>
      <c r="G166" s="69"/>
    </row>
    <row r="167" spans="1:7" x14ac:dyDescent="0.2">
      <c r="A167" s="54"/>
      <c r="B167" s="69"/>
      <c r="C167" s="69"/>
      <c r="D167" s="69"/>
      <c r="E167" s="69"/>
      <c r="F167" s="69"/>
      <c r="G167" s="69"/>
    </row>
    <row r="168" spans="1:7" x14ac:dyDescent="0.2">
      <c r="A168" s="54"/>
      <c r="B168" s="69"/>
      <c r="C168" s="69"/>
      <c r="D168" s="69"/>
      <c r="E168" s="69"/>
      <c r="F168" s="69"/>
      <c r="G168" s="69"/>
    </row>
    <row r="169" spans="1:7" x14ac:dyDescent="0.2">
      <c r="A169" s="54"/>
      <c r="B169" s="69"/>
      <c r="C169" s="69"/>
      <c r="D169" s="69"/>
      <c r="E169" s="69"/>
      <c r="F169" s="69"/>
      <c r="G169" s="69"/>
    </row>
    <row r="170" spans="1:7" x14ac:dyDescent="0.2">
      <c r="A170" s="54"/>
      <c r="B170" s="69"/>
      <c r="C170" s="69"/>
      <c r="D170" s="69"/>
      <c r="E170" s="69"/>
      <c r="F170" s="69"/>
      <c r="G170" s="69"/>
    </row>
    <row r="171" spans="1:7" x14ac:dyDescent="0.2">
      <c r="A171" s="54"/>
      <c r="B171" s="69"/>
      <c r="C171" s="69"/>
      <c r="D171" s="69"/>
      <c r="E171" s="69"/>
      <c r="F171" s="69"/>
      <c r="G171" s="69"/>
    </row>
    <row r="172" spans="1:7" x14ac:dyDescent="0.2">
      <c r="A172" s="54"/>
      <c r="B172" s="69"/>
      <c r="C172" s="69"/>
      <c r="D172" s="69"/>
      <c r="E172" s="69"/>
      <c r="F172" s="69"/>
      <c r="G172" s="69"/>
    </row>
    <row r="173" spans="1:7" x14ac:dyDescent="0.2">
      <c r="A173" s="54"/>
      <c r="B173" s="69"/>
      <c r="C173" s="69"/>
      <c r="D173" s="69"/>
      <c r="E173" s="69"/>
      <c r="F173" s="69"/>
      <c r="G173" s="69"/>
    </row>
    <row r="174" spans="1:7" x14ac:dyDescent="0.2">
      <c r="A174" s="54"/>
      <c r="B174" s="69"/>
      <c r="C174" s="69"/>
      <c r="D174" s="69"/>
      <c r="E174" s="69"/>
      <c r="F174" s="69"/>
      <c r="G174" s="69"/>
    </row>
    <row r="175" spans="1:7" x14ac:dyDescent="0.2">
      <c r="A175" s="54"/>
      <c r="B175" s="69"/>
      <c r="C175" s="69"/>
      <c r="D175" s="69"/>
      <c r="E175" s="69"/>
      <c r="F175" s="69"/>
      <c r="G175" s="69"/>
    </row>
    <row r="176" spans="1:7" x14ac:dyDescent="0.2">
      <c r="A176" s="54"/>
      <c r="B176" s="69"/>
      <c r="C176" s="69"/>
      <c r="D176" s="69"/>
      <c r="E176" s="69"/>
      <c r="F176" s="69"/>
      <c r="G176" s="69"/>
    </row>
    <row r="177" spans="1:7" x14ac:dyDescent="0.2">
      <c r="A177" s="54"/>
      <c r="B177" s="69"/>
      <c r="C177" s="69"/>
      <c r="D177" s="69"/>
      <c r="E177" s="69"/>
      <c r="F177" s="69"/>
      <c r="G177" s="69"/>
    </row>
    <row r="178" spans="1:7" x14ac:dyDescent="0.2">
      <c r="A178" s="54"/>
      <c r="B178" s="69"/>
      <c r="C178" s="69"/>
      <c r="D178" s="69"/>
      <c r="E178" s="69"/>
      <c r="F178" s="69"/>
      <c r="G178" s="69"/>
    </row>
    <row r="179" spans="1:7" x14ac:dyDescent="0.2">
      <c r="A179" s="54"/>
      <c r="B179" s="69"/>
      <c r="C179" s="69"/>
      <c r="D179" s="69"/>
      <c r="E179" s="69"/>
      <c r="F179" s="69"/>
      <c r="G179" s="69"/>
    </row>
    <row r="180" spans="1:7" x14ac:dyDescent="0.2">
      <c r="A180" s="54"/>
      <c r="B180" s="69"/>
      <c r="C180" s="69"/>
      <c r="D180" s="69"/>
      <c r="E180" s="69"/>
      <c r="F180" s="69"/>
      <c r="G180" s="69"/>
    </row>
    <row r="181" spans="1:7" x14ac:dyDescent="0.2">
      <c r="A181" s="54"/>
      <c r="B181" s="69"/>
      <c r="C181" s="69"/>
      <c r="D181" s="69"/>
      <c r="E181" s="69"/>
      <c r="F181" s="69"/>
      <c r="G181" s="69"/>
    </row>
    <row r="182" spans="1:7" x14ac:dyDescent="0.2">
      <c r="A182" s="54"/>
      <c r="B182" s="69"/>
      <c r="C182" s="69"/>
      <c r="D182" s="69"/>
      <c r="E182" s="69"/>
      <c r="F182" s="69"/>
      <c r="G182" s="69"/>
    </row>
    <row r="183" spans="1:7" x14ac:dyDescent="0.2">
      <c r="A183" s="54"/>
      <c r="B183" s="69"/>
      <c r="C183" s="69"/>
      <c r="D183" s="69"/>
      <c r="E183" s="69"/>
      <c r="F183" s="69"/>
      <c r="G183" s="69"/>
    </row>
    <row r="184" spans="1:7" x14ac:dyDescent="0.2">
      <c r="A184" s="54"/>
      <c r="B184" s="69"/>
      <c r="C184" s="69"/>
      <c r="D184" s="69"/>
      <c r="E184" s="69"/>
      <c r="F184" s="69"/>
      <c r="G184" s="69"/>
    </row>
    <row r="185" spans="1:7" x14ac:dyDescent="0.2">
      <c r="A185" s="54"/>
      <c r="B185" s="69"/>
      <c r="C185" s="69"/>
      <c r="D185" s="69"/>
      <c r="E185" s="69"/>
      <c r="F185" s="69"/>
      <c r="G185" s="69"/>
    </row>
    <row r="186" spans="1:7" x14ac:dyDescent="0.2">
      <c r="A186" s="54"/>
      <c r="B186" s="69"/>
      <c r="C186" s="69"/>
      <c r="D186" s="69"/>
      <c r="E186" s="69"/>
      <c r="F186" s="69"/>
      <c r="G186" s="69"/>
    </row>
    <row r="187" spans="1:7" x14ac:dyDescent="0.2">
      <c r="A187" s="54"/>
      <c r="B187" s="69"/>
      <c r="C187" s="69"/>
      <c r="D187" s="69"/>
      <c r="E187" s="69"/>
      <c r="F187" s="69"/>
      <c r="G187" s="69"/>
    </row>
    <row r="188" spans="1:7" x14ac:dyDescent="0.2">
      <c r="A188" s="54"/>
      <c r="B188" s="69"/>
      <c r="C188" s="69"/>
      <c r="D188" s="69"/>
      <c r="E188" s="69"/>
      <c r="F188" s="69"/>
      <c r="G188" s="69"/>
    </row>
    <row r="189" spans="1:7" x14ac:dyDescent="0.2">
      <c r="A189" s="54"/>
      <c r="B189" s="69"/>
      <c r="C189" s="69"/>
      <c r="D189" s="69"/>
      <c r="E189" s="69"/>
      <c r="F189" s="69"/>
      <c r="G189" s="69"/>
    </row>
    <row r="190" spans="1:7" x14ac:dyDescent="0.2">
      <c r="B190" s="63"/>
      <c r="C190" s="63"/>
      <c r="D190" s="63"/>
      <c r="E190" s="63"/>
      <c r="F190" s="63"/>
      <c r="G190" s="63"/>
    </row>
    <row r="191" spans="1:7" x14ac:dyDescent="0.2">
      <c r="A191" s="54"/>
      <c r="B191" s="69"/>
      <c r="C191" s="69"/>
      <c r="D191" s="69"/>
      <c r="E191" s="69"/>
      <c r="F191" s="69"/>
      <c r="G191" s="69"/>
    </row>
    <row r="192" spans="1:7" x14ac:dyDescent="0.2">
      <c r="A192" s="54"/>
      <c r="B192" s="69"/>
      <c r="C192" s="69"/>
      <c r="D192" s="69"/>
      <c r="E192" s="69"/>
      <c r="F192" s="69"/>
      <c r="G192" s="69"/>
    </row>
    <row r="193" spans="1:7" x14ac:dyDescent="0.2">
      <c r="A193" s="54"/>
      <c r="B193" s="69"/>
      <c r="C193" s="69"/>
      <c r="D193" s="69"/>
      <c r="E193" s="69"/>
      <c r="F193" s="69"/>
      <c r="G193" s="69"/>
    </row>
    <row r="194" spans="1:7" x14ac:dyDescent="0.2">
      <c r="A194" s="54"/>
      <c r="B194" s="69"/>
      <c r="C194" s="69"/>
      <c r="D194" s="69"/>
      <c r="E194" s="69"/>
      <c r="F194" s="69"/>
      <c r="G194" s="69"/>
    </row>
    <row r="195" spans="1:7" x14ac:dyDescent="0.2">
      <c r="A195" s="54"/>
      <c r="B195" s="69"/>
      <c r="C195" s="69"/>
      <c r="D195" s="69"/>
      <c r="E195" s="69"/>
      <c r="F195" s="69"/>
      <c r="G195" s="69"/>
    </row>
    <row r="196" spans="1:7" x14ac:dyDescent="0.2">
      <c r="A196" s="54"/>
      <c r="B196" s="69"/>
      <c r="C196" s="69"/>
      <c r="D196" s="69"/>
      <c r="E196" s="69"/>
      <c r="F196" s="69"/>
      <c r="G196" s="69"/>
    </row>
    <row r="197" spans="1:7" x14ac:dyDescent="0.2">
      <c r="A197" s="54"/>
      <c r="B197" s="69"/>
      <c r="C197" s="69"/>
      <c r="D197" s="69"/>
      <c r="E197" s="69"/>
      <c r="F197" s="69"/>
      <c r="G197" s="69"/>
    </row>
    <row r="198" spans="1:7" x14ac:dyDescent="0.2">
      <c r="A198" s="54"/>
      <c r="B198" s="69"/>
      <c r="C198" s="69"/>
      <c r="D198" s="69"/>
      <c r="E198" s="69"/>
      <c r="F198" s="69"/>
      <c r="G198" s="69"/>
    </row>
    <row r="199" spans="1:7" x14ac:dyDescent="0.2">
      <c r="A199" s="54"/>
      <c r="B199" s="69"/>
      <c r="C199" s="69"/>
      <c r="D199" s="69"/>
      <c r="E199" s="69"/>
      <c r="F199" s="69"/>
      <c r="G199" s="69"/>
    </row>
    <row r="200" spans="1:7" x14ac:dyDescent="0.2">
      <c r="A200" s="54"/>
      <c r="B200" s="69"/>
      <c r="C200" s="69"/>
      <c r="D200" s="69"/>
      <c r="E200" s="69"/>
      <c r="F200" s="69"/>
      <c r="G200" s="69"/>
    </row>
    <row r="201" spans="1:7" x14ac:dyDescent="0.2">
      <c r="A201" s="54"/>
      <c r="B201" s="69"/>
      <c r="C201" s="69"/>
      <c r="D201" s="69"/>
      <c r="E201" s="69"/>
      <c r="F201" s="69"/>
      <c r="G201" s="69"/>
    </row>
    <row r="202" spans="1:7" x14ac:dyDescent="0.2">
      <c r="A202" s="54"/>
      <c r="B202" s="69"/>
      <c r="C202" s="69"/>
      <c r="D202" s="69"/>
      <c r="E202" s="69"/>
      <c r="F202" s="69"/>
      <c r="G202" s="69"/>
    </row>
    <row r="203" spans="1:7" x14ac:dyDescent="0.2">
      <c r="A203" s="54"/>
      <c r="B203" s="69"/>
      <c r="C203" s="69"/>
      <c r="D203" s="69"/>
      <c r="E203" s="69"/>
      <c r="F203" s="69"/>
      <c r="G203" s="69"/>
    </row>
    <row r="204" spans="1:7" x14ac:dyDescent="0.2">
      <c r="A204" s="54"/>
      <c r="B204" s="69"/>
      <c r="C204" s="69"/>
      <c r="D204" s="69"/>
      <c r="E204" s="69"/>
      <c r="F204" s="69"/>
      <c r="G204" s="69"/>
    </row>
    <row r="205" spans="1:7" x14ac:dyDescent="0.2">
      <c r="A205" s="54"/>
      <c r="B205" s="69"/>
      <c r="C205" s="69"/>
      <c r="D205" s="69"/>
      <c r="E205" s="69"/>
      <c r="F205" s="69"/>
      <c r="G205" s="69"/>
    </row>
    <row r="206" spans="1:7" x14ac:dyDescent="0.2">
      <c r="A206" s="54"/>
      <c r="B206" s="69"/>
      <c r="C206" s="69"/>
      <c r="D206" s="69"/>
      <c r="E206" s="69"/>
      <c r="F206" s="69"/>
      <c r="G206" s="69"/>
    </row>
    <row r="207" spans="1:7" x14ac:dyDescent="0.2">
      <c r="A207" s="54"/>
      <c r="B207" s="69"/>
      <c r="C207" s="69"/>
      <c r="D207" s="69"/>
      <c r="E207" s="69"/>
      <c r="F207" s="69"/>
      <c r="G207" s="69"/>
    </row>
    <row r="208" spans="1:7" x14ac:dyDescent="0.2">
      <c r="A208" s="54"/>
      <c r="B208" s="69"/>
      <c r="C208" s="69"/>
      <c r="D208" s="69"/>
      <c r="E208" s="69"/>
      <c r="F208" s="69"/>
      <c r="G208" s="69"/>
    </row>
    <row r="209" spans="1:7" x14ac:dyDescent="0.2">
      <c r="A209" s="54"/>
      <c r="B209" s="69"/>
      <c r="C209" s="69"/>
      <c r="D209" s="69"/>
      <c r="E209" s="69"/>
      <c r="F209" s="69"/>
      <c r="G209" s="69"/>
    </row>
    <row r="210" spans="1:7" x14ac:dyDescent="0.2">
      <c r="A210" s="54"/>
      <c r="B210" s="69"/>
      <c r="C210" s="69"/>
      <c r="D210" s="69"/>
      <c r="E210" s="69"/>
      <c r="F210" s="69"/>
      <c r="G210" s="69"/>
    </row>
    <row r="211" spans="1:7" x14ac:dyDescent="0.2">
      <c r="A211" s="54"/>
      <c r="B211" s="69"/>
      <c r="C211" s="69"/>
      <c r="D211" s="69"/>
      <c r="E211" s="69"/>
      <c r="F211" s="69"/>
      <c r="G211" s="69"/>
    </row>
    <row r="212" spans="1:7" x14ac:dyDescent="0.2">
      <c r="A212" s="54"/>
      <c r="B212" s="69"/>
      <c r="C212" s="69"/>
      <c r="D212" s="69"/>
      <c r="E212" s="69"/>
      <c r="F212" s="69"/>
      <c r="G212" s="69"/>
    </row>
    <row r="213" spans="1:7" x14ac:dyDescent="0.2">
      <c r="A213" s="54"/>
      <c r="B213" s="69"/>
      <c r="C213" s="69"/>
      <c r="D213" s="69"/>
      <c r="E213" s="69"/>
      <c r="F213" s="69"/>
      <c r="G213" s="69"/>
    </row>
    <row r="214" spans="1:7" x14ac:dyDescent="0.2">
      <c r="A214" s="54"/>
      <c r="B214" s="69"/>
      <c r="C214" s="69"/>
      <c r="D214" s="69"/>
      <c r="E214" s="69"/>
      <c r="F214" s="69"/>
      <c r="G214" s="69"/>
    </row>
    <row r="215" spans="1:7" x14ac:dyDescent="0.2">
      <c r="A215" s="54"/>
      <c r="B215" s="69"/>
      <c r="C215" s="69"/>
      <c r="D215" s="69"/>
      <c r="E215" s="69"/>
      <c r="F215" s="69"/>
      <c r="G215" s="69"/>
    </row>
    <row r="216" spans="1:7" x14ac:dyDescent="0.2">
      <c r="B216" s="63"/>
      <c r="C216" s="63"/>
      <c r="D216" s="63"/>
      <c r="E216" s="63"/>
      <c r="F216" s="63"/>
      <c r="G216" s="63"/>
    </row>
    <row r="217" spans="1:7" x14ac:dyDescent="0.2">
      <c r="A217" s="54"/>
      <c r="B217" s="69"/>
      <c r="C217" s="69"/>
      <c r="D217" s="69"/>
      <c r="E217" s="69"/>
      <c r="F217" s="69"/>
      <c r="G217" s="69"/>
    </row>
    <row r="218" spans="1:7" x14ac:dyDescent="0.2">
      <c r="A218" s="54"/>
      <c r="B218" s="69"/>
      <c r="C218" s="69"/>
      <c r="D218" s="69"/>
      <c r="E218" s="69"/>
      <c r="F218" s="69"/>
      <c r="G218" s="69"/>
    </row>
    <row r="219" spans="1:7" x14ac:dyDescent="0.2">
      <c r="A219" s="54"/>
      <c r="B219" s="69"/>
      <c r="C219" s="69"/>
      <c r="D219" s="69"/>
      <c r="E219" s="69"/>
      <c r="F219" s="69"/>
      <c r="G219" s="69"/>
    </row>
    <row r="220" spans="1:7" x14ac:dyDescent="0.2">
      <c r="A220" s="54"/>
      <c r="B220" s="69"/>
      <c r="C220" s="69"/>
      <c r="D220" s="69"/>
      <c r="E220" s="69"/>
      <c r="F220" s="69"/>
      <c r="G220" s="69"/>
    </row>
    <row r="221" spans="1:7" x14ac:dyDescent="0.2">
      <c r="A221" s="54"/>
      <c r="B221" s="69"/>
      <c r="C221" s="69"/>
      <c r="D221" s="69"/>
      <c r="E221" s="69"/>
      <c r="F221" s="69"/>
      <c r="G221" s="69"/>
    </row>
    <row r="222" spans="1:7" x14ac:dyDescent="0.2">
      <c r="A222" s="54"/>
      <c r="B222" s="69"/>
      <c r="C222" s="69"/>
      <c r="D222" s="69"/>
      <c r="E222" s="69"/>
      <c r="F222" s="69"/>
      <c r="G222" s="69"/>
    </row>
    <row r="223" spans="1:7" x14ac:dyDescent="0.2">
      <c r="A223" s="54"/>
      <c r="B223" s="69"/>
      <c r="C223" s="69"/>
      <c r="D223" s="69"/>
      <c r="E223" s="69"/>
      <c r="F223" s="69"/>
      <c r="G223" s="69"/>
    </row>
    <row r="224" spans="1:7" x14ac:dyDescent="0.2">
      <c r="A224" s="54"/>
      <c r="B224" s="69"/>
      <c r="C224" s="69"/>
      <c r="D224" s="69"/>
      <c r="E224" s="69"/>
      <c r="F224" s="69"/>
      <c r="G224" s="69"/>
    </row>
    <row r="225" spans="1:7" x14ac:dyDescent="0.2">
      <c r="A225" s="54"/>
      <c r="B225" s="69"/>
      <c r="C225" s="69"/>
      <c r="D225" s="69"/>
      <c r="E225" s="69"/>
      <c r="F225" s="69"/>
      <c r="G225" s="69"/>
    </row>
    <row r="226" spans="1:7" x14ac:dyDescent="0.2">
      <c r="A226" s="54"/>
      <c r="B226" s="69"/>
      <c r="C226" s="69"/>
      <c r="D226" s="69"/>
      <c r="E226" s="69"/>
      <c r="F226" s="69"/>
      <c r="G226" s="69"/>
    </row>
    <row r="227" spans="1:7" x14ac:dyDescent="0.2">
      <c r="A227" s="54"/>
      <c r="B227" s="69"/>
      <c r="C227" s="69"/>
      <c r="D227" s="69"/>
      <c r="E227" s="69"/>
      <c r="F227" s="69"/>
      <c r="G227" s="69"/>
    </row>
    <row r="228" spans="1:7" x14ac:dyDescent="0.2">
      <c r="A228" s="54"/>
      <c r="B228" s="69"/>
      <c r="C228" s="69"/>
      <c r="D228" s="69"/>
      <c r="E228" s="69"/>
      <c r="F228" s="69"/>
      <c r="G228" s="69"/>
    </row>
    <row r="229" spans="1:7" x14ac:dyDescent="0.2">
      <c r="A229" s="54"/>
      <c r="B229" s="69"/>
      <c r="C229" s="69"/>
      <c r="D229" s="69"/>
      <c r="E229" s="69"/>
      <c r="F229" s="69"/>
      <c r="G229" s="69"/>
    </row>
    <row r="230" spans="1:7" x14ac:dyDescent="0.2">
      <c r="A230" s="54"/>
      <c r="B230" s="69"/>
      <c r="C230" s="69"/>
      <c r="D230" s="69"/>
      <c r="E230" s="69"/>
      <c r="F230" s="69"/>
      <c r="G230" s="69"/>
    </row>
    <row r="231" spans="1:7" x14ac:dyDescent="0.2">
      <c r="A231" s="54"/>
      <c r="B231" s="69"/>
      <c r="C231" s="69"/>
      <c r="D231" s="69"/>
      <c r="E231" s="69"/>
      <c r="F231" s="69"/>
      <c r="G231" s="69"/>
    </row>
    <row r="232" spans="1:7" x14ac:dyDescent="0.2">
      <c r="A232" s="54"/>
      <c r="B232" s="69"/>
      <c r="C232" s="69"/>
      <c r="D232" s="69"/>
      <c r="E232" s="69"/>
      <c r="F232" s="69"/>
      <c r="G232" s="69"/>
    </row>
    <row r="233" spans="1:7" x14ac:dyDescent="0.2">
      <c r="A233" s="54"/>
      <c r="B233" s="69"/>
      <c r="C233" s="69"/>
      <c r="D233" s="69"/>
      <c r="E233" s="69"/>
      <c r="F233" s="69"/>
      <c r="G233" s="69"/>
    </row>
    <row r="234" spans="1:7" x14ac:dyDescent="0.2">
      <c r="A234" s="54"/>
      <c r="B234" s="69"/>
      <c r="C234" s="69"/>
      <c r="D234" s="69"/>
      <c r="E234" s="69"/>
      <c r="F234" s="69"/>
      <c r="G234" s="69"/>
    </row>
    <row r="235" spans="1:7" x14ac:dyDescent="0.2">
      <c r="A235" s="54"/>
      <c r="B235" s="69"/>
      <c r="C235" s="69"/>
      <c r="D235" s="69"/>
      <c r="E235" s="69"/>
      <c r="F235" s="69"/>
      <c r="G235" s="69"/>
    </row>
    <row r="236" spans="1:7" x14ac:dyDescent="0.2">
      <c r="A236" s="54"/>
      <c r="B236" s="69"/>
      <c r="C236" s="69"/>
      <c r="D236" s="69"/>
      <c r="E236" s="69"/>
      <c r="F236" s="69"/>
      <c r="G236" s="69"/>
    </row>
    <row r="237" spans="1:7" x14ac:dyDescent="0.2">
      <c r="A237" s="54"/>
      <c r="B237" s="69"/>
      <c r="C237" s="69"/>
      <c r="D237" s="69"/>
      <c r="E237" s="69"/>
      <c r="F237" s="69"/>
      <c r="G237" s="69"/>
    </row>
    <row r="238" spans="1:7" x14ac:dyDescent="0.2">
      <c r="A238" s="54"/>
      <c r="B238" s="69"/>
      <c r="C238" s="69"/>
      <c r="D238" s="69"/>
      <c r="E238" s="69"/>
      <c r="F238" s="69"/>
      <c r="G238" s="69"/>
    </row>
    <row r="239" spans="1:7" x14ac:dyDescent="0.2">
      <c r="A239" s="54"/>
      <c r="B239" s="69"/>
      <c r="C239" s="69"/>
      <c r="D239" s="69"/>
      <c r="E239" s="69"/>
      <c r="F239" s="69"/>
      <c r="G239" s="69"/>
    </row>
    <row r="240" spans="1:7" x14ac:dyDescent="0.2">
      <c r="A240" s="54"/>
      <c r="B240" s="69"/>
      <c r="C240" s="69"/>
      <c r="D240" s="69"/>
      <c r="E240" s="69"/>
      <c r="F240" s="69"/>
      <c r="G240" s="69"/>
    </row>
    <row r="241" spans="1:7" x14ac:dyDescent="0.2">
      <c r="A241" s="54"/>
      <c r="B241" s="69"/>
      <c r="C241" s="69"/>
      <c r="D241" s="69"/>
      <c r="E241" s="69"/>
      <c r="F241" s="69"/>
      <c r="G241" s="69"/>
    </row>
    <row r="242" spans="1:7" x14ac:dyDescent="0.2">
      <c r="B242" s="63"/>
      <c r="C242" s="63"/>
      <c r="D242" s="63"/>
      <c r="E242" s="63"/>
      <c r="F242" s="63"/>
      <c r="G242" s="63"/>
    </row>
    <row r="243" spans="1:7" x14ac:dyDescent="0.2">
      <c r="A243" s="54"/>
      <c r="B243" s="69"/>
      <c r="C243" s="69"/>
      <c r="D243" s="69"/>
      <c r="E243" s="69"/>
      <c r="F243" s="69"/>
      <c r="G243" s="69"/>
    </row>
    <row r="244" spans="1:7" x14ac:dyDescent="0.2">
      <c r="A244" s="54"/>
      <c r="B244" s="69"/>
      <c r="C244" s="69"/>
      <c r="D244" s="69"/>
      <c r="E244" s="69"/>
      <c r="F244" s="69"/>
      <c r="G244" s="69"/>
    </row>
    <row r="245" spans="1:7" x14ac:dyDescent="0.2">
      <c r="A245" s="54"/>
      <c r="B245" s="69"/>
      <c r="C245" s="69"/>
      <c r="D245" s="69"/>
      <c r="E245" s="69"/>
      <c r="F245" s="69"/>
      <c r="G245" s="69"/>
    </row>
    <row r="246" spans="1:7" x14ac:dyDescent="0.2">
      <c r="A246" s="54"/>
      <c r="B246" s="69"/>
      <c r="C246" s="69"/>
      <c r="D246" s="69"/>
      <c r="E246" s="69"/>
      <c r="F246" s="69"/>
      <c r="G246" s="69"/>
    </row>
    <row r="247" spans="1:7" x14ac:dyDescent="0.2">
      <c r="A247" s="54"/>
      <c r="B247" s="69"/>
      <c r="C247" s="69"/>
      <c r="D247" s="69"/>
      <c r="E247" s="69"/>
      <c r="F247" s="69"/>
      <c r="G247" s="69"/>
    </row>
    <row r="248" spans="1:7" x14ac:dyDescent="0.2">
      <c r="A248" s="54"/>
      <c r="B248" s="69"/>
      <c r="C248" s="69"/>
      <c r="D248" s="69"/>
      <c r="E248" s="69"/>
      <c r="F248" s="69"/>
      <c r="G248" s="69"/>
    </row>
    <row r="249" spans="1:7" x14ac:dyDescent="0.2">
      <c r="A249" s="54"/>
      <c r="B249" s="69"/>
      <c r="C249" s="69"/>
      <c r="D249" s="69"/>
      <c r="E249" s="69"/>
      <c r="F249" s="69"/>
      <c r="G249" s="69"/>
    </row>
    <row r="250" spans="1:7" x14ac:dyDescent="0.2">
      <c r="A250" s="54"/>
      <c r="B250" s="69"/>
      <c r="C250" s="69"/>
      <c r="D250" s="69"/>
      <c r="E250" s="69"/>
      <c r="F250" s="69"/>
      <c r="G250" s="69"/>
    </row>
    <row r="251" spans="1:7" x14ac:dyDescent="0.2">
      <c r="A251" s="54"/>
      <c r="B251" s="69"/>
      <c r="C251" s="69"/>
      <c r="D251" s="69"/>
      <c r="E251" s="69"/>
      <c r="F251" s="69"/>
      <c r="G251" s="69"/>
    </row>
    <row r="252" spans="1:7" x14ac:dyDescent="0.2">
      <c r="A252" s="54"/>
      <c r="B252" s="69"/>
      <c r="C252" s="69"/>
      <c r="D252" s="69"/>
      <c r="E252" s="69"/>
      <c r="F252" s="69"/>
      <c r="G252" s="69"/>
    </row>
    <row r="253" spans="1:7" x14ac:dyDescent="0.2">
      <c r="A253" s="54"/>
      <c r="B253" s="69"/>
      <c r="C253" s="69"/>
      <c r="D253" s="69"/>
      <c r="E253" s="69"/>
      <c r="F253" s="69"/>
      <c r="G253" s="69"/>
    </row>
    <row r="254" spans="1:7" x14ac:dyDescent="0.2">
      <c r="A254" s="54"/>
      <c r="B254" s="69"/>
      <c r="C254" s="69"/>
      <c r="D254" s="69"/>
      <c r="E254" s="69"/>
      <c r="F254" s="69"/>
      <c r="G254" s="69"/>
    </row>
    <row r="255" spans="1:7" x14ac:dyDescent="0.2">
      <c r="A255" s="54"/>
      <c r="B255" s="69"/>
      <c r="C255" s="69"/>
      <c r="D255" s="69"/>
      <c r="E255" s="69"/>
      <c r="F255" s="69"/>
      <c r="G255" s="69"/>
    </row>
    <row r="256" spans="1:7" x14ac:dyDescent="0.2">
      <c r="A256" s="54"/>
      <c r="B256" s="69"/>
      <c r="C256" s="69"/>
      <c r="D256" s="69"/>
      <c r="E256" s="69"/>
      <c r="F256" s="69"/>
      <c r="G256" s="69"/>
    </row>
    <row r="257" spans="1:7" x14ac:dyDescent="0.2">
      <c r="A257" s="54"/>
      <c r="B257" s="69"/>
      <c r="C257" s="69"/>
      <c r="D257" s="69"/>
      <c r="E257" s="69"/>
      <c r="F257" s="69"/>
      <c r="G257" s="69"/>
    </row>
    <row r="258" spans="1:7" x14ac:dyDescent="0.2">
      <c r="A258" s="54"/>
      <c r="B258" s="69"/>
      <c r="C258" s="69"/>
      <c r="D258" s="69"/>
      <c r="E258" s="69"/>
      <c r="F258" s="69"/>
      <c r="G258" s="69"/>
    </row>
    <row r="259" spans="1:7" x14ac:dyDescent="0.2">
      <c r="A259" s="54"/>
      <c r="B259" s="69"/>
      <c r="C259" s="69"/>
      <c r="D259" s="69"/>
      <c r="E259" s="69"/>
      <c r="F259" s="69"/>
      <c r="G259" s="69"/>
    </row>
    <row r="260" spans="1:7" x14ac:dyDescent="0.2">
      <c r="A260" s="54"/>
      <c r="B260" s="69"/>
      <c r="C260" s="69"/>
      <c r="D260" s="69"/>
      <c r="E260" s="69"/>
      <c r="F260" s="69"/>
      <c r="G260" s="69"/>
    </row>
    <row r="261" spans="1:7" x14ac:dyDescent="0.2">
      <c r="A261" s="54"/>
      <c r="B261" s="69"/>
      <c r="C261" s="69"/>
      <c r="D261" s="69"/>
      <c r="E261" s="69"/>
      <c r="F261" s="69"/>
      <c r="G261" s="69"/>
    </row>
    <row r="262" spans="1:7" x14ac:dyDescent="0.2">
      <c r="A262" s="54"/>
      <c r="B262" s="69"/>
      <c r="C262" s="69"/>
      <c r="D262" s="69"/>
      <c r="E262" s="69"/>
      <c r="F262" s="69"/>
      <c r="G262" s="69"/>
    </row>
    <row r="263" spans="1:7" x14ac:dyDescent="0.2">
      <c r="A263" s="54"/>
      <c r="B263" s="69"/>
      <c r="C263" s="69"/>
      <c r="D263" s="69"/>
      <c r="E263" s="69"/>
      <c r="F263" s="69"/>
      <c r="G263" s="69"/>
    </row>
    <row r="264" spans="1:7" x14ac:dyDescent="0.2">
      <c r="A264" s="54"/>
      <c r="B264" s="69"/>
      <c r="C264" s="69"/>
      <c r="D264" s="69"/>
      <c r="E264" s="69"/>
      <c r="F264" s="69"/>
      <c r="G264" s="69"/>
    </row>
    <row r="265" spans="1:7" x14ac:dyDescent="0.2">
      <c r="A265" s="54"/>
      <c r="B265" s="69"/>
      <c r="C265" s="69"/>
      <c r="D265" s="69"/>
      <c r="E265" s="69"/>
      <c r="F265" s="69"/>
      <c r="G265" s="69"/>
    </row>
    <row r="266" spans="1:7" x14ac:dyDescent="0.2">
      <c r="A266" s="54"/>
      <c r="B266" s="69"/>
      <c r="C266" s="69"/>
      <c r="D266" s="69"/>
      <c r="E266" s="69"/>
      <c r="F266" s="69"/>
      <c r="G266" s="69"/>
    </row>
    <row r="267" spans="1:7" x14ac:dyDescent="0.2">
      <c r="A267" s="54"/>
      <c r="B267" s="69"/>
      <c r="C267" s="69"/>
      <c r="D267" s="69"/>
      <c r="E267" s="69"/>
      <c r="F267" s="69"/>
      <c r="G267" s="69"/>
    </row>
    <row r="268" spans="1:7" x14ac:dyDescent="0.2">
      <c r="B268" s="63"/>
      <c r="C268" s="63"/>
      <c r="D268" s="63"/>
      <c r="E268" s="63"/>
      <c r="F268" s="63"/>
    </row>
    <row r="269" spans="1:7" x14ac:dyDescent="0.2">
      <c r="A269" s="54"/>
      <c r="B269" s="69"/>
      <c r="C269" s="69"/>
      <c r="D269" s="69"/>
      <c r="E269" s="69"/>
      <c r="F269" s="69"/>
    </row>
    <row r="270" spans="1:7" x14ac:dyDescent="0.2">
      <c r="A270" s="54"/>
      <c r="B270" s="69"/>
      <c r="C270" s="69"/>
      <c r="D270" s="69"/>
      <c r="E270" s="69"/>
      <c r="F270" s="69"/>
    </row>
    <row r="271" spans="1:7" x14ac:dyDescent="0.2">
      <c r="A271" s="54"/>
      <c r="B271" s="69"/>
      <c r="C271" s="69"/>
      <c r="D271" s="69"/>
      <c r="E271" s="69"/>
      <c r="F271" s="69"/>
    </row>
    <row r="272" spans="1:7" x14ac:dyDescent="0.2">
      <c r="A272" s="54"/>
      <c r="B272" s="69"/>
      <c r="C272" s="69"/>
      <c r="D272" s="69"/>
      <c r="E272" s="69"/>
      <c r="F272" s="69"/>
    </row>
    <row r="273" spans="1:6" x14ac:dyDescent="0.2">
      <c r="A273" s="54"/>
      <c r="B273" s="69"/>
      <c r="C273" s="69"/>
      <c r="D273" s="69"/>
      <c r="E273" s="69"/>
      <c r="F273" s="69"/>
    </row>
    <row r="274" spans="1:6" x14ac:dyDescent="0.2">
      <c r="A274" s="54"/>
      <c r="B274" s="69"/>
      <c r="C274" s="69"/>
      <c r="D274" s="69"/>
      <c r="E274" s="69"/>
      <c r="F274" s="69"/>
    </row>
    <row r="275" spans="1:6" x14ac:dyDescent="0.2">
      <c r="A275" s="54"/>
      <c r="B275" s="69"/>
      <c r="C275" s="69"/>
      <c r="D275" s="69"/>
      <c r="E275" s="69"/>
      <c r="F275" s="69"/>
    </row>
    <row r="276" spans="1:6" x14ac:dyDescent="0.2">
      <c r="A276" s="54"/>
      <c r="B276" s="69"/>
      <c r="C276" s="69"/>
      <c r="D276" s="69"/>
      <c r="E276" s="69"/>
      <c r="F276" s="69"/>
    </row>
    <row r="277" spans="1:6" x14ac:dyDescent="0.2">
      <c r="A277" s="54"/>
      <c r="B277" s="69"/>
      <c r="C277" s="69"/>
      <c r="D277" s="69"/>
      <c r="E277" s="69"/>
      <c r="F277" s="69"/>
    </row>
    <row r="278" spans="1:6" x14ac:dyDescent="0.2">
      <c r="A278" s="54"/>
      <c r="B278" s="69"/>
      <c r="C278" s="69"/>
      <c r="D278" s="69"/>
      <c r="E278" s="69"/>
      <c r="F278" s="69"/>
    </row>
    <row r="279" spans="1:6" x14ac:dyDescent="0.2">
      <c r="A279" s="54"/>
      <c r="B279" s="69"/>
      <c r="C279" s="69"/>
      <c r="D279" s="69"/>
      <c r="E279" s="69"/>
      <c r="F279" s="69"/>
    </row>
    <row r="280" spans="1:6" x14ac:dyDescent="0.2">
      <c r="A280" s="54"/>
      <c r="B280" s="69"/>
      <c r="C280" s="69"/>
      <c r="D280" s="69"/>
      <c r="E280" s="69"/>
      <c r="F280" s="69"/>
    </row>
    <row r="281" spans="1:6" x14ac:dyDescent="0.2">
      <c r="A281" s="54"/>
      <c r="B281" s="69"/>
      <c r="C281" s="69"/>
      <c r="D281" s="69"/>
      <c r="E281" s="69"/>
      <c r="F281" s="69"/>
    </row>
    <row r="282" spans="1:6" x14ac:dyDescent="0.2">
      <c r="A282" s="54"/>
      <c r="B282" s="69"/>
      <c r="C282" s="69"/>
      <c r="D282" s="69"/>
      <c r="E282" s="69"/>
      <c r="F282" s="69"/>
    </row>
    <row r="283" spans="1:6" x14ac:dyDescent="0.2">
      <c r="A283" s="54"/>
      <c r="B283" s="69"/>
      <c r="C283" s="69"/>
      <c r="D283" s="69"/>
      <c r="E283" s="69"/>
      <c r="F283" s="69"/>
    </row>
    <row r="284" spans="1:6" x14ac:dyDescent="0.2">
      <c r="A284" s="54"/>
      <c r="B284" s="69"/>
      <c r="C284" s="69"/>
      <c r="D284" s="69"/>
      <c r="E284" s="69"/>
      <c r="F284" s="69"/>
    </row>
    <row r="285" spans="1:6" x14ac:dyDescent="0.2">
      <c r="A285" s="54"/>
      <c r="B285" s="69"/>
      <c r="C285" s="69"/>
      <c r="D285" s="69"/>
      <c r="E285" s="69"/>
      <c r="F285" s="69"/>
    </row>
    <row r="286" spans="1:6" x14ac:dyDescent="0.2">
      <c r="A286" s="54"/>
      <c r="B286" s="69"/>
      <c r="C286" s="69"/>
      <c r="D286" s="69"/>
      <c r="E286" s="69"/>
      <c r="F286" s="69"/>
    </row>
    <row r="287" spans="1:6" x14ac:dyDescent="0.2">
      <c r="A287" s="54"/>
      <c r="B287" s="69"/>
      <c r="C287" s="69"/>
      <c r="D287" s="69"/>
      <c r="E287" s="69"/>
      <c r="F287" s="69"/>
    </row>
    <row r="288" spans="1:6" x14ac:dyDescent="0.2">
      <c r="A288" s="54"/>
      <c r="B288" s="69"/>
      <c r="C288" s="69"/>
      <c r="D288" s="69"/>
      <c r="E288" s="69"/>
      <c r="F288" s="69"/>
    </row>
    <row r="289" spans="1:6" x14ac:dyDescent="0.2">
      <c r="A289" s="54"/>
      <c r="B289" s="69"/>
      <c r="C289" s="69"/>
      <c r="D289" s="69"/>
      <c r="E289" s="69"/>
      <c r="F289" s="69"/>
    </row>
    <row r="290" spans="1:6" x14ac:dyDescent="0.2">
      <c r="A290" s="54"/>
      <c r="B290" s="69"/>
      <c r="C290" s="69"/>
      <c r="D290" s="69"/>
      <c r="E290" s="69"/>
      <c r="F290" s="69"/>
    </row>
    <row r="291" spans="1:6" x14ac:dyDescent="0.2">
      <c r="A291" s="54"/>
      <c r="B291" s="69"/>
      <c r="C291" s="69"/>
      <c r="D291" s="69"/>
      <c r="E291" s="69"/>
      <c r="F291" s="69"/>
    </row>
    <row r="292" spans="1:6" x14ac:dyDescent="0.2">
      <c r="A292" s="54"/>
      <c r="B292" s="69"/>
      <c r="C292" s="69"/>
      <c r="D292" s="69"/>
      <c r="E292" s="69"/>
      <c r="F292" s="69"/>
    </row>
    <row r="293" spans="1:6" x14ac:dyDescent="0.2">
      <c r="A293" s="54"/>
      <c r="B293" s="69"/>
      <c r="C293" s="69"/>
      <c r="D293" s="69"/>
      <c r="E293" s="69"/>
      <c r="F293" s="69"/>
    </row>
    <row r="294" spans="1:6" x14ac:dyDescent="0.2">
      <c r="A294" s="65"/>
      <c r="B294" s="65"/>
    </row>
    <row r="295" spans="1:6" x14ac:dyDescent="0.2">
      <c r="A295" s="70"/>
    </row>
    <row r="296" spans="1:6" x14ac:dyDescent="0.2">
      <c r="A296" s="70"/>
    </row>
    <row r="297" spans="1:6" x14ac:dyDescent="0.2">
      <c r="A297" s="70"/>
    </row>
    <row r="298" spans="1:6" x14ac:dyDescent="0.2">
      <c r="A298" s="70"/>
    </row>
    <row r="299" spans="1:6" x14ac:dyDescent="0.2">
      <c r="A299" s="66"/>
      <c r="B299" s="67"/>
      <c r="C299" s="68"/>
    </row>
  </sheetData>
  <pageMargins left="0.25" right="0.25" top="0.5" bottom="0.5" header="0" footer="0"/>
  <pageSetup orientation="portrait" errors="NA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1819275</xdr:colOff>
                <xdr:row>3</xdr:row>
                <xdr:rowOff>28575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27"/>
  <sheetViews>
    <sheetView zoomScale="85" zoomScaleNormal="85" workbookViewId="0">
      <pane xSplit="1" ySplit="1" topLeftCell="AS2" activePane="bottomRight" state="frozen"/>
      <selection pane="topRight" activeCell="B1" sqref="B1"/>
      <selection pane="bottomLeft" activeCell="A2" sqref="A2"/>
      <selection pane="bottomRight" activeCell="AU28" sqref="AU28"/>
    </sheetView>
  </sheetViews>
  <sheetFormatPr defaultRowHeight="15" x14ac:dyDescent="0.3"/>
  <cols>
    <col min="1" max="1" width="25" style="5" bestFit="1" customWidth="1"/>
    <col min="2" max="2" width="17.42578125" style="5" bestFit="1" customWidth="1"/>
    <col min="3" max="3" width="25.28515625" style="5" bestFit="1" customWidth="1"/>
    <col min="4" max="4" width="15.5703125" style="5" bestFit="1" customWidth="1"/>
    <col min="5" max="5" width="17.140625" style="5" bestFit="1" customWidth="1"/>
    <col min="6" max="6" width="19" style="5" bestFit="1" customWidth="1"/>
    <col min="7" max="7" width="19.140625" style="5" bestFit="1" customWidth="1"/>
    <col min="8" max="8" width="19.42578125" style="5" bestFit="1" customWidth="1"/>
    <col min="9" max="10" width="15.28515625" style="5" bestFit="1" customWidth="1"/>
    <col min="11" max="11" width="17.42578125" style="5" bestFit="1" customWidth="1"/>
    <col min="12" max="12" width="19.28515625" style="5" bestFit="1" customWidth="1"/>
    <col min="13" max="13" width="19.140625" style="5" bestFit="1" customWidth="1"/>
    <col min="14" max="15" width="15.28515625" style="5" bestFit="1" customWidth="1"/>
    <col min="16" max="17" width="17.28515625" style="5" bestFit="1" customWidth="1"/>
    <col min="18" max="18" width="17.140625" style="5" bestFit="1" customWidth="1"/>
    <col min="19" max="19" width="17.28515625" style="5" bestFit="1" customWidth="1"/>
    <col min="20" max="20" width="15.42578125" style="5" bestFit="1" customWidth="1"/>
    <col min="21" max="21" width="17.28515625" style="5" bestFit="1" customWidth="1"/>
    <col min="22" max="23" width="10" style="5" bestFit="1" customWidth="1"/>
    <col min="24" max="25" width="11.42578125" style="5" bestFit="1" customWidth="1"/>
    <col min="26" max="27" width="10" style="5" bestFit="1" customWidth="1"/>
    <col min="28" max="28" width="11.5703125" style="5" bestFit="1" customWidth="1"/>
    <col min="29" max="29" width="11.42578125" style="5" bestFit="1" customWidth="1"/>
    <col min="30" max="30" width="13.140625" style="5" bestFit="1" customWidth="1"/>
    <col min="31" max="31" width="11.7109375" style="5" bestFit="1" customWidth="1"/>
    <col min="32" max="34" width="10" style="5" bestFit="1" customWidth="1"/>
    <col min="35" max="36" width="11.42578125" style="5" bestFit="1" customWidth="1"/>
    <col min="37" max="41" width="10" style="5" bestFit="1" customWidth="1"/>
    <col min="42" max="42" width="13.42578125" style="5" bestFit="1" customWidth="1"/>
    <col min="43" max="43" width="13.7109375" style="5" bestFit="1" customWidth="1"/>
    <col min="44" max="44" width="17" style="5" bestFit="1" customWidth="1"/>
    <col min="45" max="46" width="10" style="5" bestFit="1" customWidth="1"/>
    <col min="47" max="47" width="13.42578125" style="5" bestFit="1" customWidth="1"/>
    <col min="48" max="65" width="9.28515625" style="5" bestFit="1" customWidth="1"/>
    <col min="66" max="66" width="16.140625" style="5" bestFit="1" customWidth="1"/>
    <col min="67" max="16384" width="9.140625" style="5"/>
  </cols>
  <sheetData>
    <row r="1" spans="1:66" s="4" customFormat="1" ht="63.75" x14ac:dyDescent="0.2">
      <c r="A1" s="10" t="s">
        <v>65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35</v>
      </c>
      <c r="AL1" s="8" t="s">
        <v>36</v>
      </c>
      <c r="AM1" s="8" t="s">
        <v>37</v>
      </c>
      <c r="AN1" s="8" t="s">
        <v>38</v>
      </c>
      <c r="AO1" s="8" t="s">
        <v>39</v>
      </c>
      <c r="AP1" s="8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6" t="s">
        <v>45</v>
      </c>
      <c r="AV1" s="6" t="s">
        <v>46</v>
      </c>
      <c r="AW1" s="6" t="s">
        <v>47</v>
      </c>
      <c r="AX1" s="6" t="s">
        <v>48</v>
      </c>
      <c r="AY1" s="6" t="s">
        <v>49</v>
      </c>
      <c r="AZ1" s="6" t="s">
        <v>50</v>
      </c>
      <c r="BA1" s="6" t="s">
        <v>51</v>
      </c>
      <c r="BB1" s="6" t="s">
        <v>52</v>
      </c>
      <c r="BC1" s="6" t="s">
        <v>53</v>
      </c>
      <c r="BD1" s="6" t="s">
        <v>54</v>
      </c>
      <c r="BE1" s="6" t="s">
        <v>55</v>
      </c>
      <c r="BF1" s="6" t="s">
        <v>56</v>
      </c>
      <c r="BG1" s="6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</row>
    <row r="2" spans="1:66" s="59" customFormat="1" ht="12.75" x14ac:dyDescent="0.2">
      <c r="A2" s="64" t="s">
        <v>189</v>
      </c>
      <c r="B2" s="53">
        <v>270.69</v>
      </c>
      <c r="C2" s="53">
        <v>683992.75</v>
      </c>
      <c r="D2" s="53">
        <v>819435.69</v>
      </c>
      <c r="E2" s="53">
        <v>392335.88</v>
      </c>
      <c r="F2" s="53">
        <v>1560115</v>
      </c>
      <c r="G2" s="53">
        <v>1873346.5</v>
      </c>
      <c r="H2" s="53">
        <v>9655069.9100000001</v>
      </c>
      <c r="I2" s="53">
        <v>226871.67</v>
      </c>
      <c r="J2" s="53">
        <v>9374.6</v>
      </c>
      <c r="K2" s="53">
        <v>907385.06</v>
      </c>
      <c r="L2" s="53">
        <v>1658325.38</v>
      </c>
      <c r="M2" s="53">
        <v>1851777.63</v>
      </c>
      <c r="N2" s="53">
        <v>218.49</v>
      </c>
      <c r="O2" s="53">
        <v>30370.41</v>
      </c>
      <c r="P2" s="53">
        <v>54387.54</v>
      </c>
      <c r="Q2" s="53">
        <v>95647.58</v>
      </c>
      <c r="R2" s="53">
        <v>114299.01</v>
      </c>
      <c r="S2" s="53">
        <v>109457.2</v>
      </c>
      <c r="T2" s="53">
        <v>55991.75</v>
      </c>
      <c r="U2" s="53">
        <v>62777.24</v>
      </c>
      <c r="V2" s="53">
        <v>39.130000000000003</v>
      </c>
      <c r="W2" s="53">
        <v>39.86</v>
      </c>
      <c r="X2" s="53">
        <v>159</v>
      </c>
      <c r="Y2" s="53">
        <v>163.89</v>
      </c>
      <c r="Z2" s="53">
        <v>85.63</v>
      </c>
      <c r="AA2" s="53">
        <v>91.19</v>
      </c>
      <c r="AB2" s="53">
        <v>363.28</v>
      </c>
      <c r="AC2" s="53">
        <v>-0.11</v>
      </c>
      <c r="AD2" s="53">
        <v>350.08</v>
      </c>
      <c r="AE2" s="53">
        <v>-0.88</v>
      </c>
      <c r="AF2" s="53">
        <v>63.78</v>
      </c>
      <c r="AG2" s="53">
        <v>-0.12</v>
      </c>
      <c r="AH2" s="53">
        <v>99.45</v>
      </c>
      <c r="AI2" s="53">
        <v>96.15</v>
      </c>
      <c r="AJ2" s="53">
        <v>103.48</v>
      </c>
      <c r="AK2" s="53">
        <v>50.12</v>
      </c>
      <c r="AL2" s="53">
        <v>41.81</v>
      </c>
      <c r="AM2" s="53">
        <v>41.15</v>
      </c>
      <c r="AN2" s="53">
        <v>41.25</v>
      </c>
      <c r="AO2" s="53">
        <v>39.28</v>
      </c>
      <c r="AP2" s="53">
        <v>9334.11</v>
      </c>
      <c r="AQ2" s="53">
        <v>6.72</v>
      </c>
      <c r="AR2" s="53">
        <v>6.72</v>
      </c>
      <c r="AS2" s="53">
        <v>6.69</v>
      </c>
      <c r="AT2" s="53">
        <v>6.72</v>
      </c>
      <c r="AU2" s="53">
        <v>1799.27</v>
      </c>
      <c r="AV2" s="53">
        <v>2189.02</v>
      </c>
      <c r="AW2" s="53">
        <v>591.9</v>
      </c>
      <c r="AX2" s="53">
        <v>423.88</v>
      </c>
      <c r="AY2" s="53">
        <v>1765.51</v>
      </c>
      <c r="AZ2" s="53">
        <v>1401.08</v>
      </c>
      <c r="BA2" s="53">
        <v>2804.35</v>
      </c>
      <c r="BB2" s="53">
        <v>2748.44</v>
      </c>
      <c r="BC2" s="53">
        <v>2393.48</v>
      </c>
      <c r="BD2" s="53">
        <v>2944.95</v>
      </c>
      <c r="BE2" s="53">
        <v>2861.34</v>
      </c>
      <c r="BF2" s="53">
        <v>2974.48</v>
      </c>
      <c r="BG2" s="53">
        <v>2846.46</v>
      </c>
      <c r="BH2" s="53">
        <v>1755.86</v>
      </c>
      <c r="BI2" s="53">
        <v>2344.5100000000002</v>
      </c>
      <c r="BJ2" s="53">
        <v>2793.93</v>
      </c>
      <c r="BK2" s="53">
        <v>2782.37</v>
      </c>
      <c r="BL2" s="53">
        <v>1813.53</v>
      </c>
      <c r="BM2" s="53">
        <v>2876.59</v>
      </c>
      <c r="BN2" s="53">
        <v>2835.71</v>
      </c>
    </row>
    <row r="3" spans="1:66" s="59" customFormat="1" ht="12.75" x14ac:dyDescent="0.2">
      <c r="A3" s="64" t="s">
        <v>190</v>
      </c>
      <c r="B3" s="53">
        <v>273.11</v>
      </c>
      <c r="C3" s="53">
        <v>684029.13</v>
      </c>
      <c r="D3" s="53">
        <v>819435.69</v>
      </c>
      <c r="E3" s="53">
        <v>392372</v>
      </c>
      <c r="F3" s="53">
        <v>1560170.88</v>
      </c>
      <c r="G3" s="53">
        <v>1873404.75</v>
      </c>
      <c r="H3" s="53">
        <v>9655135.9700000007</v>
      </c>
      <c r="I3" s="53">
        <v>226871.67</v>
      </c>
      <c r="J3" s="53">
        <v>9374.82</v>
      </c>
      <c r="K3" s="53">
        <v>907418</v>
      </c>
      <c r="L3" s="53">
        <v>1658381.88</v>
      </c>
      <c r="M3" s="53">
        <v>1851845.25</v>
      </c>
      <c r="N3" s="53">
        <v>218.49</v>
      </c>
      <c r="O3" s="53">
        <v>30370.41</v>
      </c>
      <c r="P3" s="53">
        <v>54390.53</v>
      </c>
      <c r="Q3" s="53">
        <v>95651.13</v>
      </c>
      <c r="R3" s="53">
        <v>114302.53</v>
      </c>
      <c r="S3" s="53">
        <v>109460.69</v>
      </c>
      <c r="T3" s="53">
        <v>55994.239999999998</v>
      </c>
      <c r="U3" s="53">
        <v>62777.24</v>
      </c>
      <c r="V3" s="53">
        <v>39.11</v>
      </c>
      <c r="W3" s="53">
        <v>39.869999999999997</v>
      </c>
      <c r="X3" s="53">
        <v>158.96</v>
      </c>
      <c r="Y3" s="53">
        <v>163.81</v>
      </c>
      <c r="Z3" s="53">
        <v>85.62</v>
      </c>
      <c r="AA3" s="53">
        <v>91.26</v>
      </c>
      <c r="AB3" s="53">
        <v>361.51</v>
      </c>
      <c r="AC3" s="53">
        <v>-0.11</v>
      </c>
      <c r="AD3" s="53">
        <v>348.66</v>
      </c>
      <c r="AE3" s="53">
        <v>-0.88</v>
      </c>
      <c r="AF3" s="53">
        <v>63.44</v>
      </c>
      <c r="AG3" s="53">
        <v>-0.12</v>
      </c>
      <c r="AH3" s="53">
        <v>99.39</v>
      </c>
      <c r="AI3" s="53">
        <v>96.1</v>
      </c>
      <c r="AJ3" s="53">
        <v>103.44</v>
      </c>
      <c r="AK3" s="53">
        <v>49.95</v>
      </c>
      <c r="AL3" s="53">
        <v>41.97</v>
      </c>
      <c r="AM3" s="53">
        <v>40.98</v>
      </c>
      <c r="AN3" s="53">
        <v>41.27</v>
      </c>
      <c r="AO3" s="53">
        <v>39.24</v>
      </c>
      <c r="AP3" s="53">
        <v>9349.36</v>
      </c>
      <c r="AQ3" s="53">
        <v>6.72</v>
      </c>
      <c r="AR3" s="53">
        <v>6.72</v>
      </c>
      <c r="AS3" s="53">
        <v>6.69</v>
      </c>
      <c r="AT3" s="53">
        <v>6.72</v>
      </c>
      <c r="AU3" s="53">
        <v>1799.35</v>
      </c>
      <c r="AV3" s="53">
        <v>2189.02</v>
      </c>
      <c r="AW3" s="53">
        <v>591.98</v>
      </c>
      <c r="AX3" s="53">
        <v>423.88</v>
      </c>
      <c r="AY3" s="53">
        <v>1765.59</v>
      </c>
      <c r="AZ3" s="53">
        <v>1401.08</v>
      </c>
      <c r="BA3" s="53">
        <v>2804.43</v>
      </c>
      <c r="BB3" s="53">
        <v>2748.52</v>
      </c>
      <c r="BC3" s="53">
        <v>2393.56</v>
      </c>
      <c r="BD3" s="53">
        <v>2945.03</v>
      </c>
      <c r="BE3" s="53">
        <v>2861.42</v>
      </c>
      <c r="BF3" s="53">
        <v>2974.56</v>
      </c>
      <c r="BG3" s="53">
        <v>2846.54</v>
      </c>
      <c r="BH3" s="53">
        <v>1755.94</v>
      </c>
      <c r="BI3" s="53">
        <v>2344.59</v>
      </c>
      <c r="BJ3" s="53">
        <v>2794.01</v>
      </c>
      <c r="BK3" s="53">
        <v>2782.45</v>
      </c>
      <c r="BL3" s="53">
        <v>1813.61</v>
      </c>
      <c r="BM3" s="53">
        <v>2876.67</v>
      </c>
      <c r="BN3" s="53">
        <v>2835.79</v>
      </c>
    </row>
    <row r="4" spans="1:66" s="59" customFormat="1" ht="12.75" x14ac:dyDescent="0.2">
      <c r="A4" s="64" t="s">
        <v>191</v>
      </c>
      <c r="B4" s="53">
        <v>271.97000000000003</v>
      </c>
      <c r="C4" s="53">
        <v>684065.63</v>
      </c>
      <c r="D4" s="53">
        <v>819435.69</v>
      </c>
      <c r="E4" s="53">
        <v>392408.13</v>
      </c>
      <c r="F4" s="53">
        <v>1560227</v>
      </c>
      <c r="G4" s="53">
        <v>1873463.38</v>
      </c>
      <c r="H4" s="53">
        <v>9655202.3000000007</v>
      </c>
      <c r="I4" s="53">
        <v>226871.67</v>
      </c>
      <c r="J4" s="53">
        <v>9375.0300000000007</v>
      </c>
      <c r="K4" s="53">
        <v>907450.56</v>
      </c>
      <c r="L4" s="53">
        <v>1658438.5</v>
      </c>
      <c r="M4" s="53">
        <v>1851913.25</v>
      </c>
      <c r="N4" s="53">
        <v>218.49</v>
      </c>
      <c r="O4" s="53">
        <v>30370.41</v>
      </c>
      <c r="P4" s="53">
        <v>54393.42</v>
      </c>
      <c r="Q4" s="53">
        <v>95654.59</v>
      </c>
      <c r="R4" s="53">
        <v>114305.95</v>
      </c>
      <c r="S4" s="53">
        <v>109464.08</v>
      </c>
      <c r="T4" s="53">
        <v>55996.75</v>
      </c>
      <c r="U4" s="53">
        <v>62777.24</v>
      </c>
      <c r="V4" s="53">
        <v>39.08</v>
      </c>
      <c r="W4" s="53">
        <v>39.85</v>
      </c>
      <c r="X4" s="53">
        <v>158.94</v>
      </c>
      <c r="Y4" s="53">
        <v>163.83000000000001</v>
      </c>
      <c r="Z4" s="53">
        <v>85.05</v>
      </c>
      <c r="AA4" s="53">
        <v>91.01</v>
      </c>
      <c r="AB4" s="53">
        <v>364.02</v>
      </c>
      <c r="AC4" s="53">
        <v>-0.11</v>
      </c>
      <c r="AD4" s="53">
        <v>350.98</v>
      </c>
      <c r="AE4" s="53">
        <v>-0.88</v>
      </c>
      <c r="AF4" s="53">
        <v>63.63</v>
      </c>
      <c r="AG4" s="53">
        <v>-0.12</v>
      </c>
      <c r="AH4" s="53">
        <v>99.41</v>
      </c>
      <c r="AI4" s="53">
        <v>96.13</v>
      </c>
      <c r="AJ4" s="53">
        <v>103.41</v>
      </c>
      <c r="AK4" s="53">
        <v>49.97</v>
      </c>
      <c r="AL4" s="53">
        <v>41.98</v>
      </c>
      <c r="AM4" s="53">
        <v>40.98</v>
      </c>
      <c r="AN4" s="53">
        <v>41.06</v>
      </c>
      <c r="AO4" s="53">
        <v>39.29</v>
      </c>
      <c r="AP4" s="53">
        <v>9380.32</v>
      </c>
      <c r="AQ4" s="53">
        <v>6.72</v>
      </c>
      <c r="AR4" s="53">
        <v>6.72</v>
      </c>
      <c r="AS4" s="53">
        <v>6.69</v>
      </c>
      <c r="AT4" s="53">
        <v>6.72</v>
      </c>
      <c r="AU4" s="53">
        <v>1799.43</v>
      </c>
      <c r="AV4" s="53">
        <v>2189.02</v>
      </c>
      <c r="AW4" s="53">
        <v>592.05999999999995</v>
      </c>
      <c r="AX4" s="53">
        <v>423.88</v>
      </c>
      <c r="AY4" s="53">
        <v>1765.67</v>
      </c>
      <c r="AZ4" s="53">
        <v>1401.08</v>
      </c>
      <c r="BA4" s="53">
        <v>2804.51</v>
      </c>
      <c r="BB4" s="53">
        <v>2748.6</v>
      </c>
      <c r="BC4" s="53">
        <v>2393.64</v>
      </c>
      <c r="BD4" s="53">
        <v>2945.1</v>
      </c>
      <c r="BE4" s="53">
        <v>2861.5</v>
      </c>
      <c r="BF4" s="53">
        <v>2974.64</v>
      </c>
      <c r="BG4" s="53">
        <v>2846.62</v>
      </c>
      <c r="BH4" s="53">
        <v>1756.02</v>
      </c>
      <c r="BI4" s="53">
        <v>2344.67</v>
      </c>
      <c r="BJ4" s="53">
        <v>2794.09</v>
      </c>
      <c r="BK4" s="53">
        <v>2782.53</v>
      </c>
      <c r="BL4" s="53">
        <v>1813.68</v>
      </c>
      <c r="BM4" s="53">
        <v>2876.75</v>
      </c>
      <c r="BN4" s="53">
        <v>2835.86</v>
      </c>
    </row>
    <row r="5" spans="1:66" s="59" customFormat="1" ht="12.75" x14ac:dyDescent="0.2">
      <c r="A5" s="64" t="s">
        <v>192</v>
      </c>
      <c r="B5" s="53">
        <v>272.76</v>
      </c>
      <c r="C5" s="53">
        <v>684102.06</v>
      </c>
      <c r="D5" s="53">
        <v>819435.69</v>
      </c>
      <c r="E5" s="53">
        <v>392444.41</v>
      </c>
      <c r="F5" s="53">
        <v>1560283.13</v>
      </c>
      <c r="G5" s="53">
        <v>1873521.88</v>
      </c>
      <c r="H5" s="53">
        <v>9655268.5899999999</v>
      </c>
      <c r="I5" s="53">
        <v>226871.67</v>
      </c>
      <c r="J5" s="53">
        <v>9375.24</v>
      </c>
      <c r="K5" s="53">
        <v>907483.31</v>
      </c>
      <c r="L5" s="53">
        <v>1658495.13</v>
      </c>
      <c r="M5" s="53">
        <v>1851981</v>
      </c>
      <c r="N5" s="53">
        <v>218.49</v>
      </c>
      <c r="O5" s="53">
        <v>30370.41</v>
      </c>
      <c r="P5" s="53">
        <v>54396.46</v>
      </c>
      <c r="Q5" s="53">
        <v>95658.04</v>
      </c>
      <c r="R5" s="53">
        <v>114309.36</v>
      </c>
      <c r="S5" s="53">
        <v>109467.46</v>
      </c>
      <c r="T5" s="53">
        <v>55999.27</v>
      </c>
      <c r="U5" s="53">
        <v>62777.24</v>
      </c>
      <c r="V5" s="53">
        <v>39.1</v>
      </c>
      <c r="W5" s="53">
        <v>39.85</v>
      </c>
      <c r="X5" s="53">
        <v>159.28</v>
      </c>
      <c r="Y5" s="53">
        <v>164.01</v>
      </c>
      <c r="Z5" s="53">
        <v>85.11</v>
      </c>
      <c r="AA5" s="53">
        <v>91.14</v>
      </c>
      <c r="AB5" s="53">
        <v>362.54</v>
      </c>
      <c r="AC5" s="53">
        <v>-0.11</v>
      </c>
      <c r="AD5" s="53">
        <v>349.86</v>
      </c>
      <c r="AE5" s="53">
        <v>-0.88</v>
      </c>
      <c r="AF5" s="53">
        <v>63.68</v>
      </c>
      <c r="AG5" s="53">
        <v>-0.12</v>
      </c>
      <c r="AH5" s="53">
        <v>99.57</v>
      </c>
      <c r="AI5" s="53">
        <v>96.14</v>
      </c>
      <c r="AJ5" s="53">
        <v>103.37</v>
      </c>
      <c r="AK5" s="53">
        <v>49.75</v>
      </c>
      <c r="AL5" s="53">
        <v>41.99</v>
      </c>
      <c r="AM5" s="53">
        <v>41.23</v>
      </c>
      <c r="AN5" s="53">
        <v>40.82</v>
      </c>
      <c r="AO5" s="53">
        <v>39.39</v>
      </c>
      <c r="AP5" s="53">
        <v>9352.7199999999993</v>
      </c>
      <c r="AQ5" s="53">
        <v>6.72</v>
      </c>
      <c r="AR5" s="53">
        <v>6.72</v>
      </c>
      <c r="AS5" s="53">
        <v>6.69</v>
      </c>
      <c r="AT5" s="53">
        <v>6.72</v>
      </c>
      <c r="AU5" s="53">
        <v>1799.52</v>
      </c>
      <c r="AV5" s="53">
        <v>2189.02</v>
      </c>
      <c r="AW5" s="53">
        <v>592.15</v>
      </c>
      <c r="AX5" s="53">
        <v>423.88</v>
      </c>
      <c r="AY5" s="53">
        <v>1765.76</v>
      </c>
      <c r="AZ5" s="53">
        <v>1401.08</v>
      </c>
      <c r="BA5" s="53">
        <v>2804.6</v>
      </c>
      <c r="BB5" s="53">
        <v>2748.69</v>
      </c>
      <c r="BC5" s="53">
        <v>2393.73</v>
      </c>
      <c r="BD5" s="53">
        <v>2945.2</v>
      </c>
      <c r="BE5" s="53">
        <v>2861.59</v>
      </c>
      <c r="BF5" s="53">
        <v>2974.74</v>
      </c>
      <c r="BG5" s="53">
        <v>2846.71</v>
      </c>
      <c r="BH5" s="53">
        <v>1756.12</v>
      </c>
      <c r="BI5" s="53">
        <v>2344.7600000000002</v>
      </c>
      <c r="BJ5" s="53">
        <v>2794.18</v>
      </c>
      <c r="BK5" s="53">
        <v>2782.62</v>
      </c>
      <c r="BL5" s="53">
        <v>1813.77</v>
      </c>
      <c r="BM5" s="53">
        <v>2876.84</v>
      </c>
      <c r="BN5" s="53">
        <v>2835.95</v>
      </c>
    </row>
    <row r="6" spans="1:66" s="59" customFormat="1" ht="12.75" x14ac:dyDescent="0.2">
      <c r="A6" s="64" t="s">
        <v>193</v>
      </c>
      <c r="B6" s="53">
        <v>273.85000000000002</v>
      </c>
      <c r="C6" s="53">
        <v>684138.56</v>
      </c>
      <c r="D6" s="53">
        <v>819435.69</v>
      </c>
      <c r="E6" s="53">
        <v>392480.66</v>
      </c>
      <c r="F6" s="53">
        <v>1560339.13</v>
      </c>
      <c r="G6" s="53">
        <v>1873580.38</v>
      </c>
      <c r="H6" s="53">
        <v>9655335.0800000001</v>
      </c>
      <c r="I6" s="53">
        <v>226871.67</v>
      </c>
      <c r="J6" s="53">
        <v>9375.5300000000007</v>
      </c>
      <c r="K6" s="53">
        <v>907515.94</v>
      </c>
      <c r="L6" s="53">
        <v>1658551.75</v>
      </c>
      <c r="M6" s="53">
        <v>1852048.88</v>
      </c>
      <c r="N6" s="53">
        <v>218.49</v>
      </c>
      <c r="O6" s="53">
        <v>30370.41</v>
      </c>
      <c r="P6" s="53">
        <v>54399.4</v>
      </c>
      <c r="Q6" s="53">
        <v>95661.59</v>
      </c>
      <c r="R6" s="53">
        <v>114312.88</v>
      </c>
      <c r="S6" s="53">
        <v>109470.95</v>
      </c>
      <c r="T6" s="53">
        <v>56001.86</v>
      </c>
      <c r="U6" s="53">
        <v>62777.3</v>
      </c>
      <c r="V6" s="53">
        <v>39.14</v>
      </c>
      <c r="W6" s="53">
        <v>39.9</v>
      </c>
      <c r="X6" s="53">
        <v>159.61000000000001</v>
      </c>
      <c r="Y6" s="53">
        <v>164.32</v>
      </c>
      <c r="Z6" s="53">
        <v>85.04</v>
      </c>
      <c r="AA6" s="53">
        <v>91.15</v>
      </c>
      <c r="AB6" s="53">
        <v>365.69</v>
      </c>
      <c r="AC6" s="53">
        <v>-0.11</v>
      </c>
      <c r="AD6" s="53">
        <v>352.68</v>
      </c>
      <c r="AE6" s="53">
        <v>-0.88</v>
      </c>
      <c r="AF6" s="53">
        <v>63.82</v>
      </c>
      <c r="AG6" s="53">
        <v>-0.12</v>
      </c>
      <c r="AH6" s="53">
        <v>99.82</v>
      </c>
      <c r="AI6" s="53">
        <v>96.24</v>
      </c>
      <c r="AJ6" s="53">
        <v>103.41</v>
      </c>
      <c r="AK6" s="53">
        <v>49.76</v>
      </c>
      <c r="AL6" s="53">
        <v>42.25</v>
      </c>
      <c r="AM6" s="53">
        <v>41.28</v>
      </c>
      <c r="AN6" s="53">
        <v>40.799999999999997</v>
      </c>
      <c r="AO6" s="53">
        <v>39.42</v>
      </c>
      <c r="AP6" s="53">
        <v>9417.7900000000009</v>
      </c>
      <c r="AQ6" s="53">
        <v>6.72</v>
      </c>
      <c r="AR6" s="53">
        <v>6.72</v>
      </c>
      <c r="AS6" s="53">
        <v>6.68</v>
      </c>
      <c r="AT6" s="53">
        <v>6.72</v>
      </c>
      <c r="AU6" s="53">
        <v>1799.61</v>
      </c>
      <c r="AV6" s="53">
        <v>2189.02</v>
      </c>
      <c r="AW6" s="53">
        <v>592.24</v>
      </c>
      <c r="AX6" s="53">
        <v>423.88</v>
      </c>
      <c r="AY6" s="53">
        <v>1765.85</v>
      </c>
      <c r="AZ6" s="53">
        <v>1401.08</v>
      </c>
      <c r="BA6" s="53">
        <v>2804.69</v>
      </c>
      <c r="BB6" s="53">
        <v>2748.78</v>
      </c>
      <c r="BC6" s="53">
        <v>2393.8200000000002</v>
      </c>
      <c r="BD6" s="53">
        <v>2945.29</v>
      </c>
      <c r="BE6" s="53">
        <v>2861.68</v>
      </c>
      <c r="BF6" s="53">
        <v>2974.82</v>
      </c>
      <c r="BG6" s="53">
        <v>2846.8</v>
      </c>
      <c r="BH6" s="53">
        <v>1756.2</v>
      </c>
      <c r="BI6" s="53">
        <v>2344.85</v>
      </c>
      <c r="BJ6" s="53">
        <v>2794.27</v>
      </c>
      <c r="BK6" s="53">
        <v>2782.71</v>
      </c>
      <c r="BL6" s="53">
        <v>1813.87</v>
      </c>
      <c r="BM6" s="53">
        <v>2876.93</v>
      </c>
      <c r="BN6" s="53">
        <v>2836.05</v>
      </c>
    </row>
    <row r="7" spans="1:66" s="59" customFormat="1" ht="12.75" x14ac:dyDescent="0.2">
      <c r="A7" s="64" t="s">
        <v>194</v>
      </c>
      <c r="B7" s="53">
        <v>273.2</v>
      </c>
      <c r="C7" s="53">
        <v>684175.25</v>
      </c>
      <c r="D7" s="53">
        <v>819435.69</v>
      </c>
      <c r="E7" s="53">
        <v>392517.06</v>
      </c>
      <c r="F7" s="53">
        <v>1560395.5</v>
      </c>
      <c r="G7" s="53">
        <v>1873639.25</v>
      </c>
      <c r="H7" s="53">
        <v>9655401.7200000007</v>
      </c>
      <c r="I7" s="53">
        <v>226871.67</v>
      </c>
      <c r="J7" s="53">
        <v>9375.74</v>
      </c>
      <c r="K7" s="53">
        <v>907548.5</v>
      </c>
      <c r="L7" s="53">
        <v>1658608.5</v>
      </c>
      <c r="M7" s="53">
        <v>1852117.13</v>
      </c>
      <c r="N7" s="53">
        <v>218.49</v>
      </c>
      <c r="O7" s="53">
        <v>30370.41</v>
      </c>
      <c r="P7" s="53">
        <v>54402.400000000001</v>
      </c>
      <c r="Q7" s="53">
        <v>95665.05</v>
      </c>
      <c r="R7" s="53">
        <v>114316.29</v>
      </c>
      <c r="S7" s="53">
        <v>109474.34</v>
      </c>
      <c r="T7" s="53">
        <v>56004.36</v>
      </c>
      <c r="U7" s="53">
        <v>62777.3</v>
      </c>
      <c r="V7" s="53">
        <v>39.07</v>
      </c>
      <c r="W7" s="53">
        <v>39.840000000000003</v>
      </c>
      <c r="X7" s="53">
        <v>159.13999999999999</v>
      </c>
      <c r="Y7" s="53">
        <v>163.82</v>
      </c>
      <c r="Z7" s="53">
        <v>84.63</v>
      </c>
      <c r="AA7" s="53">
        <v>90.81</v>
      </c>
      <c r="AB7" s="53">
        <v>366.7</v>
      </c>
      <c r="AC7" s="53">
        <v>-0.11</v>
      </c>
      <c r="AD7" s="53">
        <v>353.41</v>
      </c>
      <c r="AE7" s="53">
        <v>-0.88</v>
      </c>
      <c r="AF7" s="53">
        <v>63.88</v>
      </c>
      <c r="AG7" s="53">
        <v>-0.12</v>
      </c>
      <c r="AH7" s="53">
        <v>99.63</v>
      </c>
      <c r="AI7" s="53">
        <v>96.01</v>
      </c>
      <c r="AJ7" s="53">
        <v>103.22</v>
      </c>
      <c r="AK7" s="53">
        <v>49.72</v>
      </c>
      <c r="AL7" s="53">
        <v>42.26</v>
      </c>
      <c r="AM7" s="53">
        <v>41.1</v>
      </c>
      <c r="AN7" s="53">
        <v>40.76</v>
      </c>
      <c r="AO7" s="53">
        <v>39.35</v>
      </c>
      <c r="AP7" s="53">
        <v>9413</v>
      </c>
      <c r="AQ7" s="53">
        <v>6.72</v>
      </c>
      <c r="AR7" s="53">
        <v>6.72</v>
      </c>
      <c r="AS7" s="53">
        <v>6.68</v>
      </c>
      <c r="AT7" s="53">
        <v>6.72</v>
      </c>
      <c r="AU7" s="53">
        <v>1799.69</v>
      </c>
      <c r="AV7" s="53">
        <v>2189.02</v>
      </c>
      <c r="AW7" s="53">
        <v>592.32000000000005</v>
      </c>
      <c r="AX7" s="53">
        <v>423.88</v>
      </c>
      <c r="AY7" s="53">
        <v>1765.93</v>
      </c>
      <c r="AZ7" s="53">
        <v>1401.08</v>
      </c>
      <c r="BA7" s="53">
        <v>2804.77</v>
      </c>
      <c r="BB7" s="53">
        <v>2748.86</v>
      </c>
      <c r="BC7" s="53">
        <v>2393.9</v>
      </c>
      <c r="BD7" s="53">
        <v>2945.37</v>
      </c>
      <c r="BE7" s="53">
        <v>2861.76</v>
      </c>
      <c r="BF7" s="53">
        <v>2974.91</v>
      </c>
      <c r="BG7" s="53">
        <v>2846.88</v>
      </c>
      <c r="BH7" s="53">
        <v>1756.29</v>
      </c>
      <c r="BI7" s="53">
        <v>2344.9299999999998</v>
      </c>
      <c r="BJ7" s="53">
        <v>2794.35</v>
      </c>
      <c r="BK7" s="53">
        <v>2782.79</v>
      </c>
      <c r="BL7" s="53">
        <v>1813.95</v>
      </c>
      <c r="BM7" s="53">
        <v>2877.01</v>
      </c>
      <c r="BN7" s="53">
        <v>2836.13</v>
      </c>
    </row>
    <row r="8" spans="1:66" s="59" customFormat="1" ht="12.75" x14ac:dyDescent="0.2">
      <c r="A8" s="64" t="s">
        <v>195</v>
      </c>
      <c r="B8" s="53">
        <v>274.54000000000002</v>
      </c>
      <c r="C8" s="53">
        <v>684211.81</v>
      </c>
      <c r="D8" s="53">
        <v>819435.69</v>
      </c>
      <c r="E8" s="53">
        <v>392553.22</v>
      </c>
      <c r="F8" s="53">
        <v>1560451.75</v>
      </c>
      <c r="G8" s="53">
        <v>1873697.75</v>
      </c>
      <c r="H8" s="53">
        <v>9655468.3200000003</v>
      </c>
      <c r="I8" s="53">
        <v>226871.67</v>
      </c>
      <c r="J8" s="53">
        <v>9375.94</v>
      </c>
      <c r="K8" s="53">
        <v>907581.06</v>
      </c>
      <c r="L8" s="53">
        <v>1658665.13</v>
      </c>
      <c r="M8" s="53">
        <v>1852185.13</v>
      </c>
      <c r="N8" s="53">
        <v>218.49</v>
      </c>
      <c r="O8" s="53">
        <v>30370.41</v>
      </c>
      <c r="P8" s="53">
        <v>54405.29</v>
      </c>
      <c r="Q8" s="53">
        <v>95668.5</v>
      </c>
      <c r="R8" s="53">
        <v>114319.7</v>
      </c>
      <c r="S8" s="53">
        <v>109477.73</v>
      </c>
      <c r="T8" s="53">
        <v>56006.84</v>
      </c>
      <c r="U8" s="53">
        <v>62777.3</v>
      </c>
      <c r="V8" s="53">
        <v>39.03</v>
      </c>
      <c r="W8" s="53">
        <v>39.78</v>
      </c>
      <c r="X8" s="53">
        <v>158.66999999999999</v>
      </c>
      <c r="Y8" s="53">
        <v>162.69</v>
      </c>
      <c r="Z8" s="53">
        <v>84.68</v>
      </c>
      <c r="AA8" s="53">
        <v>90.52</v>
      </c>
      <c r="AB8" s="53">
        <v>364.12</v>
      </c>
      <c r="AC8" s="53">
        <v>-0.11</v>
      </c>
      <c r="AD8" s="53">
        <v>351.27</v>
      </c>
      <c r="AE8" s="53">
        <v>-0.88</v>
      </c>
      <c r="AF8" s="53">
        <v>63.61</v>
      </c>
      <c r="AG8" s="53">
        <v>-0.12</v>
      </c>
      <c r="AH8" s="53">
        <v>99.39</v>
      </c>
      <c r="AI8" s="53">
        <v>95.82</v>
      </c>
      <c r="AJ8" s="53">
        <v>102.95</v>
      </c>
      <c r="AK8" s="53">
        <v>49.66</v>
      </c>
      <c r="AL8" s="53">
        <v>42.28</v>
      </c>
      <c r="AM8" s="53">
        <v>41.2</v>
      </c>
      <c r="AN8" s="53">
        <v>40.78</v>
      </c>
      <c r="AO8" s="53">
        <v>39.35</v>
      </c>
      <c r="AP8" s="53">
        <v>9395.02</v>
      </c>
      <c r="AQ8" s="53">
        <v>6.72</v>
      </c>
      <c r="AR8" s="53">
        <v>6.72</v>
      </c>
      <c r="AS8" s="53">
        <v>6.68</v>
      </c>
      <c r="AT8" s="53">
        <v>6.72</v>
      </c>
      <c r="AU8" s="53">
        <v>1799.77</v>
      </c>
      <c r="AV8" s="53">
        <v>2189.02</v>
      </c>
      <c r="AW8" s="53">
        <v>592.4</v>
      </c>
      <c r="AX8" s="53">
        <v>423.88</v>
      </c>
      <c r="AY8" s="53">
        <v>1766.01</v>
      </c>
      <c r="AZ8" s="53">
        <v>1401.08</v>
      </c>
      <c r="BA8" s="53">
        <v>2804.85</v>
      </c>
      <c r="BB8" s="53">
        <v>2748.94</v>
      </c>
      <c r="BC8" s="53">
        <v>2393.98</v>
      </c>
      <c r="BD8" s="53">
        <v>2945.45</v>
      </c>
      <c r="BE8" s="53">
        <v>2861.84</v>
      </c>
      <c r="BF8" s="53">
        <v>2974.99</v>
      </c>
      <c r="BG8" s="53">
        <v>2846.96</v>
      </c>
      <c r="BH8" s="53">
        <v>1756.37</v>
      </c>
      <c r="BI8" s="53">
        <v>2345.0100000000002</v>
      </c>
      <c r="BJ8" s="53">
        <v>2794.43</v>
      </c>
      <c r="BK8" s="53">
        <v>2782.87</v>
      </c>
      <c r="BL8" s="53">
        <v>1814.03</v>
      </c>
      <c r="BM8" s="53">
        <v>2877.09</v>
      </c>
      <c r="BN8" s="53">
        <v>2836.21</v>
      </c>
    </row>
    <row r="9" spans="1:66" s="59" customFormat="1" ht="12.75" x14ac:dyDescent="0.2">
      <c r="A9" s="64" t="s">
        <v>196</v>
      </c>
      <c r="B9" s="53">
        <v>273.95</v>
      </c>
      <c r="C9" s="53">
        <v>684248.56</v>
      </c>
      <c r="D9" s="53">
        <v>819435.69</v>
      </c>
      <c r="E9" s="53">
        <v>392589.81</v>
      </c>
      <c r="F9" s="53">
        <v>1560508.25</v>
      </c>
      <c r="G9" s="53">
        <v>1873756.75</v>
      </c>
      <c r="H9" s="53">
        <v>9655535.0999999996</v>
      </c>
      <c r="I9" s="53">
        <v>226871.67</v>
      </c>
      <c r="J9" s="53">
        <v>9376.26</v>
      </c>
      <c r="K9" s="53">
        <v>907613.5</v>
      </c>
      <c r="L9" s="53">
        <v>1658721.5</v>
      </c>
      <c r="M9" s="53">
        <v>1852253.5</v>
      </c>
      <c r="N9" s="53">
        <v>218.49</v>
      </c>
      <c r="O9" s="53">
        <v>30370.41</v>
      </c>
      <c r="P9" s="53">
        <v>54408.28</v>
      </c>
      <c r="Q9" s="53">
        <v>95672.05</v>
      </c>
      <c r="R9" s="53">
        <v>114323.11</v>
      </c>
      <c r="S9" s="53">
        <v>109481.22</v>
      </c>
      <c r="T9" s="53">
        <v>56009.34</v>
      </c>
      <c r="U9" s="53">
        <v>62777.5</v>
      </c>
      <c r="V9" s="53">
        <v>39.04</v>
      </c>
      <c r="W9" s="53">
        <v>39.76</v>
      </c>
      <c r="X9" s="53">
        <v>158.31</v>
      </c>
      <c r="Y9" s="53">
        <v>162.74</v>
      </c>
      <c r="Z9" s="53">
        <v>84.71</v>
      </c>
      <c r="AA9" s="53">
        <v>90.53</v>
      </c>
      <c r="AB9" s="53">
        <v>366.81</v>
      </c>
      <c r="AC9" s="53">
        <v>-0.11</v>
      </c>
      <c r="AD9" s="53">
        <v>353.35</v>
      </c>
      <c r="AE9" s="53">
        <v>-0.88</v>
      </c>
      <c r="AF9" s="53">
        <v>63.79</v>
      </c>
      <c r="AG9" s="53">
        <v>-0.12</v>
      </c>
      <c r="AH9" s="53">
        <v>99.4</v>
      </c>
      <c r="AI9" s="53">
        <v>95.82</v>
      </c>
      <c r="AJ9" s="53">
        <v>102.99</v>
      </c>
      <c r="AK9" s="53">
        <v>49.79</v>
      </c>
      <c r="AL9" s="53">
        <v>42.29</v>
      </c>
      <c r="AM9" s="53">
        <v>41.05</v>
      </c>
      <c r="AN9" s="53">
        <v>40.82</v>
      </c>
      <c r="AO9" s="53">
        <v>39.31</v>
      </c>
      <c r="AP9" s="53">
        <v>9441.92</v>
      </c>
      <c r="AQ9" s="53">
        <v>6.72</v>
      </c>
      <c r="AR9" s="53">
        <v>6.72</v>
      </c>
      <c r="AS9" s="53">
        <v>6.68</v>
      </c>
      <c r="AT9" s="53">
        <v>6.72</v>
      </c>
      <c r="AU9" s="53">
        <v>1799.85</v>
      </c>
      <c r="AV9" s="53">
        <v>2189.02</v>
      </c>
      <c r="AW9" s="53">
        <v>592.48</v>
      </c>
      <c r="AX9" s="53">
        <v>423.88</v>
      </c>
      <c r="AY9" s="53">
        <v>1766.09</v>
      </c>
      <c r="AZ9" s="53">
        <v>1401.08</v>
      </c>
      <c r="BA9" s="53">
        <v>2804.93</v>
      </c>
      <c r="BB9" s="53">
        <v>2749.02</v>
      </c>
      <c r="BC9" s="53">
        <v>2394.06</v>
      </c>
      <c r="BD9" s="53">
        <v>2945.53</v>
      </c>
      <c r="BE9" s="53">
        <v>2861.92</v>
      </c>
      <c r="BF9" s="53">
        <v>2975.07</v>
      </c>
      <c r="BG9" s="53">
        <v>2847.04</v>
      </c>
      <c r="BH9" s="53">
        <v>1756.45</v>
      </c>
      <c r="BI9" s="53">
        <v>2345.09</v>
      </c>
      <c r="BJ9" s="53">
        <v>2794.51</v>
      </c>
      <c r="BK9" s="53">
        <v>2782.95</v>
      </c>
      <c r="BL9" s="53">
        <v>1814.1</v>
      </c>
      <c r="BM9" s="53">
        <v>2877.17</v>
      </c>
      <c r="BN9" s="53">
        <v>2836.28</v>
      </c>
    </row>
    <row r="10" spans="1:66" s="59" customFormat="1" ht="12.75" x14ac:dyDescent="0.2">
      <c r="A10" s="64" t="s">
        <v>197</v>
      </c>
      <c r="B10" s="53">
        <v>273.41000000000003</v>
      </c>
      <c r="C10" s="53">
        <v>684285.13</v>
      </c>
      <c r="D10" s="53">
        <v>819435.69</v>
      </c>
      <c r="E10" s="53">
        <v>392626</v>
      </c>
      <c r="F10" s="53">
        <v>1560564.5</v>
      </c>
      <c r="G10" s="53">
        <v>1873815.38</v>
      </c>
      <c r="H10" s="53">
        <v>9655601.8100000005</v>
      </c>
      <c r="I10" s="53">
        <v>226871.67</v>
      </c>
      <c r="J10" s="53">
        <v>9376.48</v>
      </c>
      <c r="K10" s="53">
        <v>907646.13</v>
      </c>
      <c r="L10" s="53">
        <v>1658777.88</v>
      </c>
      <c r="M10" s="53">
        <v>1852321.63</v>
      </c>
      <c r="N10" s="53">
        <v>218.49</v>
      </c>
      <c r="O10" s="53">
        <v>30370.41</v>
      </c>
      <c r="P10" s="53">
        <v>54411.28</v>
      </c>
      <c r="Q10" s="53">
        <v>95675.5</v>
      </c>
      <c r="R10" s="53">
        <v>114326.43</v>
      </c>
      <c r="S10" s="53">
        <v>109484.6</v>
      </c>
      <c r="T10" s="53">
        <v>56011.82</v>
      </c>
      <c r="U10" s="53">
        <v>62777.71</v>
      </c>
      <c r="V10" s="53">
        <v>39</v>
      </c>
      <c r="W10" s="53">
        <v>39.75</v>
      </c>
      <c r="X10" s="53">
        <v>158.16999999999999</v>
      </c>
      <c r="Y10" s="53">
        <v>162.85</v>
      </c>
      <c r="Z10" s="53">
        <v>84.87</v>
      </c>
      <c r="AA10" s="53">
        <v>90.58</v>
      </c>
      <c r="AB10" s="53">
        <v>364.29</v>
      </c>
      <c r="AC10" s="53">
        <v>-0.11</v>
      </c>
      <c r="AD10" s="53">
        <v>351.28</v>
      </c>
      <c r="AE10" s="53">
        <v>-0.88</v>
      </c>
      <c r="AF10" s="53">
        <v>63.67</v>
      </c>
      <c r="AG10" s="53">
        <v>-0.12</v>
      </c>
      <c r="AH10" s="53">
        <v>99.44</v>
      </c>
      <c r="AI10" s="53">
        <v>95.91</v>
      </c>
      <c r="AJ10" s="53">
        <v>103.09</v>
      </c>
      <c r="AK10" s="53">
        <v>49.74</v>
      </c>
      <c r="AL10" s="53">
        <v>42.37</v>
      </c>
      <c r="AM10" s="53">
        <v>40.97</v>
      </c>
      <c r="AN10" s="53">
        <v>40.92</v>
      </c>
      <c r="AO10" s="53">
        <v>39.24</v>
      </c>
      <c r="AP10" s="53">
        <v>9398.3799999999992</v>
      </c>
      <c r="AQ10" s="53">
        <v>6.72</v>
      </c>
      <c r="AR10" s="53">
        <v>6.72</v>
      </c>
      <c r="AS10" s="53">
        <v>6.68</v>
      </c>
      <c r="AT10" s="53">
        <v>6.72</v>
      </c>
      <c r="AU10" s="53">
        <v>1799.93</v>
      </c>
      <c r="AV10" s="53">
        <v>2189.02</v>
      </c>
      <c r="AW10" s="53">
        <v>592.55999999999995</v>
      </c>
      <c r="AX10" s="53">
        <v>423.88</v>
      </c>
      <c r="AY10" s="53">
        <v>1766.17</v>
      </c>
      <c r="AZ10" s="53">
        <v>1401.08</v>
      </c>
      <c r="BA10" s="53">
        <v>2805.01</v>
      </c>
      <c r="BB10" s="53">
        <v>2749.1</v>
      </c>
      <c r="BC10" s="53">
        <v>2394.14</v>
      </c>
      <c r="BD10" s="53">
        <v>2945.61</v>
      </c>
      <c r="BE10" s="53">
        <v>2862</v>
      </c>
      <c r="BF10" s="53">
        <v>2975.15</v>
      </c>
      <c r="BG10" s="53">
        <v>2847.12</v>
      </c>
      <c r="BH10" s="53">
        <v>1756.53</v>
      </c>
      <c r="BI10" s="53">
        <v>2345.17</v>
      </c>
      <c r="BJ10" s="53">
        <v>2794.59</v>
      </c>
      <c r="BK10" s="53">
        <v>2783.03</v>
      </c>
      <c r="BL10" s="53">
        <v>1814.18</v>
      </c>
      <c r="BM10" s="53">
        <v>2877.25</v>
      </c>
      <c r="BN10" s="53">
        <v>2836.36</v>
      </c>
    </row>
    <row r="11" spans="1:66" s="59" customFormat="1" ht="12.75" x14ac:dyDescent="0.2">
      <c r="A11" s="64" t="s">
        <v>198</v>
      </c>
      <c r="B11" s="53">
        <v>275.08999999999997</v>
      </c>
      <c r="C11" s="53">
        <v>684321.75</v>
      </c>
      <c r="D11" s="53">
        <v>819435.69</v>
      </c>
      <c r="E11" s="53">
        <v>392662.5</v>
      </c>
      <c r="F11" s="53">
        <v>1560620.75</v>
      </c>
      <c r="G11" s="53">
        <v>1873874.25</v>
      </c>
      <c r="H11" s="53">
        <v>9655668.4800000004</v>
      </c>
      <c r="I11" s="53">
        <v>226871.67</v>
      </c>
      <c r="J11" s="53">
        <v>9376.69</v>
      </c>
      <c r="K11" s="53">
        <v>907678.63</v>
      </c>
      <c r="L11" s="53">
        <v>1658834.13</v>
      </c>
      <c r="M11" s="53">
        <v>1852389.75</v>
      </c>
      <c r="N11" s="53">
        <v>218.49</v>
      </c>
      <c r="O11" s="53">
        <v>30370.41</v>
      </c>
      <c r="P11" s="53">
        <v>54414.19</v>
      </c>
      <c r="Q11" s="53">
        <v>95678.95</v>
      </c>
      <c r="R11" s="53">
        <v>114329.85</v>
      </c>
      <c r="S11" s="53">
        <v>109487.99</v>
      </c>
      <c r="T11" s="53">
        <v>56014.34</v>
      </c>
      <c r="U11" s="53">
        <v>62777.71</v>
      </c>
      <c r="V11" s="53">
        <v>38.96</v>
      </c>
      <c r="W11" s="53">
        <v>39.67</v>
      </c>
      <c r="X11" s="53">
        <v>158.02000000000001</v>
      </c>
      <c r="Y11" s="53">
        <v>162.84</v>
      </c>
      <c r="Z11" s="53">
        <v>84.86</v>
      </c>
      <c r="AA11" s="53">
        <v>90.52</v>
      </c>
      <c r="AB11" s="53">
        <v>365.7</v>
      </c>
      <c r="AC11" s="53">
        <v>-0.11</v>
      </c>
      <c r="AD11" s="53">
        <v>352.57</v>
      </c>
      <c r="AE11" s="53">
        <v>-0.88</v>
      </c>
      <c r="AF11" s="53">
        <v>63.69</v>
      </c>
      <c r="AG11" s="53">
        <v>-0.12</v>
      </c>
      <c r="AH11" s="53">
        <v>99.4</v>
      </c>
      <c r="AI11" s="53">
        <v>95.88</v>
      </c>
      <c r="AJ11" s="53">
        <v>103.07</v>
      </c>
      <c r="AK11" s="53">
        <v>49.71</v>
      </c>
      <c r="AL11" s="53">
        <v>42.43</v>
      </c>
      <c r="AM11" s="53">
        <v>40.840000000000003</v>
      </c>
      <c r="AN11" s="53">
        <v>40.93</v>
      </c>
      <c r="AO11" s="53">
        <v>39.18</v>
      </c>
      <c r="AP11" s="53">
        <v>9419.77</v>
      </c>
      <c r="AQ11" s="53">
        <v>6.72</v>
      </c>
      <c r="AR11" s="53">
        <v>6.72</v>
      </c>
      <c r="AS11" s="53">
        <v>6.68</v>
      </c>
      <c r="AT11" s="53">
        <v>6.72</v>
      </c>
      <c r="AU11" s="53">
        <v>1800.02</v>
      </c>
      <c r="AV11" s="53">
        <v>2189.02</v>
      </c>
      <c r="AW11" s="53">
        <v>592.65</v>
      </c>
      <c r="AX11" s="53">
        <v>423.88</v>
      </c>
      <c r="AY11" s="53">
        <v>1766.26</v>
      </c>
      <c r="AZ11" s="53">
        <v>1401.08</v>
      </c>
      <c r="BA11" s="53">
        <v>2805.09</v>
      </c>
      <c r="BB11" s="53">
        <v>2749.18</v>
      </c>
      <c r="BC11" s="53">
        <v>2394.2199999999998</v>
      </c>
      <c r="BD11" s="53">
        <v>2945.69</v>
      </c>
      <c r="BE11" s="53">
        <v>2862.08</v>
      </c>
      <c r="BF11" s="53">
        <v>2975.23</v>
      </c>
      <c r="BG11" s="53">
        <v>2847.21</v>
      </c>
      <c r="BH11" s="53">
        <v>1756.6</v>
      </c>
      <c r="BI11" s="53">
        <v>2345.25</v>
      </c>
      <c r="BJ11" s="53">
        <v>2794.68</v>
      </c>
      <c r="BK11" s="53">
        <v>2783.11</v>
      </c>
      <c r="BL11" s="53">
        <v>1814.27</v>
      </c>
      <c r="BM11" s="53">
        <v>2877.34</v>
      </c>
      <c r="BN11" s="53">
        <v>2836.45</v>
      </c>
    </row>
    <row r="12" spans="1:66" s="59" customFormat="1" ht="12.75" x14ac:dyDescent="0.2">
      <c r="A12" s="64" t="s">
        <v>199</v>
      </c>
      <c r="B12" s="53">
        <v>272.79000000000002</v>
      </c>
      <c r="C12" s="53">
        <v>684358.75</v>
      </c>
      <c r="D12" s="53">
        <v>819435.69</v>
      </c>
      <c r="E12" s="53">
        <v>392699.19</v>
      </c>
      <c r="F12" s="53">
        <v>1560677.63</v>
      </c>
      <c r="G12" s="53">
        <v>1873933.5</v>
      </c>
      <c r="H12" s="53">
        <v>9655735.5500000007</v>
      </c>
      <c r="I12" s="53">
        <v>226871.67</v>
      </c>
      <c r="J12" s="53">
        <v>9376.89</v>
      </c>
      <c r="K12" s="53">
        <v>907711.25</v>
      </c>
      <c r="L12" s="53">
        <v>1658890.25</v>
      </c>
      <c r="M12" s="53">
        <v>1852458.63</v>
      </c>
      <c r="N12" s="53">
        <v>218.49</v>
      </c>
      <c r="O12" s="53">
        <v>30370.41</v>
      </c>
      <c r="P12" s="53">
        <v>54417.07</v>
      </c>
      <c r="Q12" s="53">
        <v>95682.51</v>
      </c>
      <c r="R12" s="53">
        <v>114333.17</v>
      </c>
      <c r="S12" s="53">
        <v>109491.48</v>
      </c>
      <c r="T12" s="53">
        <v>56016.959999999999</v>
      </c>
      <c r="U12" s="53">
        <v>62777.71</v>
      </c>
      <c r="V12" s="53">
        <v>38.909999999999997</v>
      </c>
      <c r="W12" s="53">
        <v>39.619999999999997</v>
      </c>
      <c r="X12" s="53">
        <v>157.84</v>
      </c>
      <c r="Y12" s="53">
        <v>162.76</v>
      </c>
      <c r="Z12" s="53">
        <v>85.23</v>
      </c>
      <c r="AA12" s="53">
        <v>90.59</v>
      </c>
      <c r="AB12" s="53">
        <v>368.95</v>
      </c>
      <c r="AC12" s="53">
        <v>-0.11</v>
      </c>
      <c r="AD12" s="53">
        <v>355.1</v>
      </c>
      <c r="AE12" s="53">
        <v>-0.88</v>
      </c>
      <c r="AF12" s="53">
        <v>63.92</v>
      </c>
      <c r="AG12" s="53">
        <v>-0.12</v>
      </c>
      <c r="AH12" s="53">
        <v>99.27</v>
      </c>
      <c r="AI12" s="53">
        <v>95.9</v>
      </c>
      <c r="AJ12" s="53">
        <v>103.1</v>
      </c>
      <c r="AK12" s="53">
        <v>48.82</v>
      </c>
      <c r="AL12" s="53">
        <v>42.6</v>
      </c>
      <c r="AM12" s="53">
        <v>40.9</v>
      </c>
      <c r="AN12" s="53">
        <v>41.13</v>
      </c>
      <c r="AO12" s="53">
        <v>38.96</v>
      </c>
      <c r="AP12" s="53">
        <v>9479.2800000000007</v>
      </c>
      <c r="AQ12" s="53">
        <v>6.72</v>
      </c>
      <c r="AR12" s="53">
        <v>6.72</v>
      </c>
      <c r="AS12" s="53">
        <v>6.68</v>
      </c>
      <c r="AT12" s="53">
        <v>6.72</v>
      </c>
      <c r="AU12" s="53">
        <v>1800.11</v>
      </c>
      <c r="AV12" s="53">
        <v>2189.02</v>
      </c>
      <c r="AW12" s="53">
        <v>592.74</v>
      </c>
      <c r="AX12" s="53">
        <v>423.88</v>
      </c>
      <c r="AY12" s="53">
        <v>1766.35</v>
      </c>
      <c r="AZ12" s="53">
        <v>1401.08</v>
      </c>
      <c r="BA12" s="53">
        <v>2805.19</v>
      </c>
      <c r="BB12" s="53">
        <v>2749.28</v>
      </c>
      <c r="BC12" s="53">
        <v>2394.3200000000002</v>
      </c>
      <c r="BD12" s="53">
        <v>2945.79</v>
      </c>
      <c r="BE12" s="53">
        <v>2862.18</v>
      </c>
      <c r="BF12" s="53">
        <v>2975.33</v>
      </c>
      <c r="BG12" s="53">
        <v>2847.3</v>
      </c>
      <c r="BH12" s="53">
        <v>1756.7</v>
      </c>
      <c r="BI12" s="53">
        <v>2345.35</v>
      </c>
      <c r="BJ12" s="53">
        <v>2794.77</v>
      </c>
      <c r="BK12" s="53">
        <v>2783.21</v>
      </c>
      <c r="BL12" s="53">
        <v>1814.37</v>
      </c>
      <c r="BM12" s="53">
        <v>2877.43</v>
      </c>
      <c r="BN12" s="53">
        <v>2836.55</v>
      </c>
    </row>
    <row r="13" spans="1:66" s="59" customFormat="1" ht="12.75" x14ac:dyDescent="0.2">
      <c r="A13" s="64" t="s">
        <v>200</v>
      </c>
      <c r="B13" s="53">
        <v>270.89999999999998</v>
      </c>
      <c r="C13" s="53">
        <v>684395.25</v>
      </c>
      <c r="D13" s="53">
        <v>819435.69</v>
      </c>
      <c r="E13" s="53">
        <v>392735.38</v>
      </c>
      <c r="F13" s="53">
        <v>1560733.88</v>
      </c>
      <c r="G13" s="53">
        <v>1873992.25</v>
      </c>
      <c r="H13" s="53">
        <v>9655802.2599999998</v>
      </c>
      <c r="I13" s="53">
        <v>226871.67</v>
      </c>
      <c r="J13" s="53">
        <v>9377.2000000000007</v>
      </c>
      <c r="K13" s="53">
        <v>907744</v>
      </c>
      <c r="L13" s="53">
        <v>1658946.5</v>
      </c>
      <c r="M13" s="53">
        <v>1852526.5</v>
      </c>
      <c r="N13" s="53">
        <v>218.49</v>
      </c>
      <c r="O13" s="53">
        <v>30370.41</v>
      </c>
      <c r="P13" s="53">
        <v>54419.8</v>
      </c>
      <c r="Q13" s="53">
        <v>95685.96</v>
      </c>
      <c r="R13" s="53">
        <v>114336.49</v>
      </c>
      <c r="S13" s="53">
        <v>109494.87</v>
      </c>
      <c r="T13" s="53">
        <v>56019.38</v>
      </c>
      <c r="U13" s="53">
        <v>62778.04</v>
      </c>
      <c r="V13" s="53">
        <v>38.85</v>
      </c>
      <c r="W13" s="53">
        <v>39.57</v>
      </c>
      <c r="X13" s="53">
        <v>157.62</v>
      </c>
      <c r="Y13" s="53">
        <v>162.47</v>
      </c>
      <c r="Z13" s="53">
        <v>85.62</v>
      </c>
      <c r="AA13" s="53">
        <v>90.81</v>
      </c>
      <c r="AB13" s="53">
        <v>362.1</v>
      </c>
      <c r="AC13" s="53">
        <v>-0.11</v>
      </c>
      <c r="AD13" s="53">
        <v>348.97</v>
      </c>
      <c r="AE13" s="53">
        <v>-0.88</v>
      </c>
      <c r="AF13" s="53">
        <v>63.49</v>
      </c>
      <c r="AG13" s="53">
        <v>-0.12</v>
      </c>
      <c r="AH13" s="53">
        <v>99.11</v>
      </c>
      <c r="AI13" s="53">
        <v>95.79</v>
      </c>
      <c r="AJ13" s="53">
        <v>103.06</v>
      </c>
      <c r="AK13" s="53">
        <v>48.23</v>
      </c>
      <c r="AL13" s="53">
        <v>42.69</v>
      </c>
      <c r="AM13" s="53">
        <v>41.01</v>
      </c>
      <c r="AN13" s="53">
        <v>41.31</v>
      </c>
      <c r="AO13" s="53">
        <v>38.840000000000003</v>
      </c>
      <c r="AP13" s="53">
        <v>9351.02</v>
      </c>
      <c r="AQ13" s="53">
        <v>6.72</v>
      </c>
      <c r="AR13" s="53">
        <v>6.72</v>
      </c>
      <c r="AS13" s="53">
        <v>6.68</v>
      </c>
      <c r="AT13" s="53">
        <v>6.72</v>
      </c>
      <c r="AU13" s="53">
        <v>1800.19</v>
      </c>
      <c r="AV13" s="53">
        <v>2189.02</v>
      </c>
      <c r="AW13" s="53">
        <v>592.82000000000005</v>
      </c>
      <c r="AX13" s="53">
        <v>423.88</v>
      </c>
      <c r="AY13" s="53">
        <v>1766.43</v>
      </c>
      <c r="AZ13" s="53">
        <v>1401.08</v>
      </c>
      <c r="BA13" s="53">
        <v>2805.27</v>
      </c>
      <c r="BB13" s="53">
        <v>2749.36</v>
      </c>
      <c r="BC13" s="53">
        <v>2394.4</v>
      </c>
      <c r="BD13" s="53">
        <v>2945.87</v>
      </c>
      <c r="BE13" s="53">
        <v>2862.26</v>
      </c>
      <c r="BF13" s="53">
        <v>2975.4</v>
      </c>
      <c r="BG13" s="53">
        <v>2847.38</v>
      </c>
      <c r="BH13" s="53">
        <v>1756.78</v>
      </c>
      <c r="BI13" s="53">
        <v>2345.4299999999998</v>
      </c>
      <c r="BJ13" s="53">
        <v>2794.85</v>
      </c>
      <c r="BK13" s="53">
        <v>2783.29</v>
      </c>
      <c r="BL13" s="53">
        <v>1814.44</v>
      </c>
      <c r="BM13" s="53">
        <v>2877.51</v>
      </c>
      <c r="BN13" s="53">
        <v>2836.62</v>
      </c>
    </row>
    <row r="14" spans="1:66" s="59" customFormat="1" ht="12.75" x14ac:dyDescent="0.2">
      <c r="A14" s="64" t="s">
        <v>201</v>
      </c>
      <c r="B14" s="53">
        <v>272.72000000000003</v>
      </c>
      <c r="C14" s="53">
        <v>684431.63</v>
      </c>
      <c r="D14" s="53">
        <v>819435.69</v>
      </c>
      <c r="E14" s="53">
        <v>392771.5</v>
      </c>
      <c r="F14" s="53">
        <v>1560789.75</v>
      </c>
      <c r="G14" s="53">
        <v>1874050.5</v>
      </c>
      <c r="H14" s="53">
        <v>9655868.4000000004</v>
      </c>
      <c r="I14" s="53">
        <v>226871.67</v>
      </c>
      <c r="J14" s="53">
        <v>9377.41</v>
      </c>
      <c r="K14" s="53">
        <v>907776.69</v>
      </c>
      <c r="L14" s="53">
        <v>1659001.5</v>
      </c>
      <c r="M14" s="53">
        <v>1852594.25</v>
      </c>
      <c r="N14" s="53">
        <v>218.49</v>
      </c>
      <c r="O14" s="53">
        <v>30370.41</v>
      </c>
      <c r="P14" s="53">
        <v>54422.57</v>
      </c>
      <c r="Q14" s="53">
        <v>95689.41</v>
      </c>
      <c r="R14" s="53">
        <v>114339.91</v>
      </c>
      <c r="S14" s="53">
        <v>109498.25</v>
      </c>
      <c r="T14" s="53">
        <v>56021.85</v>
      </c>
      <c r="U14" s="53">
        <v>62778.48</v>
      </c>
      <c r="V14" s="53">
        <v>37.909999999999997</v>
      </c>
      <c r="W14" s="53">
        <v>38.58</v>
      </c>
      <c r="X14" s="53">
        <v>157.4</v>
      </c>
      <c r="Y14" s="53">
        <v>161.52000000000001</v>
      </c>
      <c r="Z14" s="53">
        <v>85.57</v>
      </c>
      <c r="AA14" s="53">
        <v>90.74</v>
      </c>
      <c r="AB14" s="53">
        <v>361.38</v>
      </c>
      <c r="AC14" s="53">
        <v>-0.11</v>
      </c>
      <c r="AD14" s="53">
        <v>348.76</v>
      </c>
      <c r="AE14" s="53">
        <v>-0.88</v>
      </c>
      <c r="AF14" s="53">
        <v>63.34</v>
      </c>
      <c r="AG14" s="53">
        <v>-0.12</v>
      </c>
      <c r="AH14" s="53">
        <v>99.18</v>
      </c>
      <c r="AI14" s="53">
        <v>95.91</v>
      </c>
      <c r="AJ14" s="53">
        <v>103.21</v>
      </c>
      <c r="AK14" s="53">
        <v>48.49</v>
      </c>
      <c r="AL14" s="53">
        <v>42.94</v>
      </c>
      <c r="AM14" s="53">
        <v>40.9</v>
      </c>
      <c r="AN14" s="53">
        <v>41.16</v>
      </c>
      <c r="AO14" s="53">
        <v>38.81</v>
      </c>
      <c r="AP14" s="53">
        <v>9357.19</v>
      </c>
      <c r="AQ14" s="53">
        <v>6.72</v>
      </c>
      <c r="AR14" s="53">
        <v>6.72</v>
      </c>
      <c r="AS14" s="53">
        <v>6.68</v>
      </c>
      <c r="AT14" s="53">
        <v>6.72</v>
      </c>
      <c r="AU14" s="53">
        <v>1800.27</v>
      </c>
      <c r="AV14" s="53">
        <v>2189.02</v>
      </c>
      <c r="AW14" s="53">
        <v>592.9</v>
      </c>
      <c r="AX14" s="53">
        <v>423.88</v>
      </c>
      <c r="AY14" s="53">
        <v>1766.51</v>
      </c>
      <c r="AZ14" s="53">
        <v>1401.08</v>
      </c>
      <c r="BA14" s="53">
        <v>2805.35</v>
      </c>
      <c r="BB14" s="53">
        <v>2749.44</v>
      </c>
      <c r="BC14" s="53">
        <v>2394.48</v>
      </c>
      <c r="BD14" s="53">
        <v>2945.95</v>
      </c>
      <c r="BE14" s="53">
        <v>2862.34</v>
      </c>
      <c r="BF14" s="53">
        <v>2975.48</v>
      </c>
      <c r="BG14" s="53">
        <v>2847.46</v>
      </c>
      <c r="BH14" s="53">
        <v>1756.86</v>
      </c>
      <c r="BI14" s="53">
        <v>2345.5100000000002</v>
      </c>
      <c r="BJ14" s="53">
        <v>2794.93</v>
      </c>
      <c r="BK14" s="53">
        <v>2783.37</v>
      </c>
      <c r="BL14" s="53">
        <v>1814.52</v>
      </c>
      <c r="BM14" s="53">
        <v>2877.59</v>
      </c>
      <c r="BN14" s="53">
        <v>2836.71</v>
      </c>
    </row>
    <row r="15" spans="1:66" s="59" customFormat="1" ht="12.75" x14ac:dyDescent="0.2">
      <c r="A15" s="64" t="s">
        <v>202</v>
      </c>
      <c r="B15" s="53">
        <v>271.97000000000003</v>
      </c>
      <c r="C15" s="53">
        <v>684468.19</v>
      </c>
      <c r="D15" s="53">
        <v>819435.69</v>
      </c>
      <c r="E15" s="53">
        <v>392807.78</v>
      </c>
      <c r="F15" s="53">
        <v>1560846</v>
      </c>
      <c r="G15" s="53">
        <v>1874109.13</v>
      </c>
      <c r="H15" s="53">
        <v>9655934.7400000002</v>
      </c>
      <c r="I15" s="53">
        <v>226871.67</v>
      </c>
      <c r="J15" s="53">
        <v>9377.6299999999992</v>
      </c>
      <c r="K15" s="53">
        <v>907809.38</v>
      </c>
      <c r="L15" s="53">
        <v>1659055.38</v>
      </c>
      <c r="M15" s="53">
        <v>1852662.25</v>
      </c>
      <c r="N15" s="53">
        <v>218.49</v>
      </c>
      <c r="O15" s="53">
        <v>30370.41</v>
      </c>
      <c r="P15" s="53">
        <v>54425.21</v>
      </c>
      <c r="Q15" s="53">
        <v>95692.97</v>
      </c>
      <c r="R15" s="53">
        <v>114343.23</v>
      </c>
      <c r="S15" s="53">
        <v>109501.74</v>
      </c>
      <c r="T15" s="53">
        <v>56024.28</v>
      </c>
      <c r="U15" s="53">
        <v>62778.59</v>
      </c>
      <c r="V15" s="53">
        <v>37.770000000000003</v>
      </c>
      <c r="W15" s="53">
        <v>37.700000000000003</v>
      </c>
      <c r="X15" s="53">
        <v>153.41</v>
      </c>
      <c r="Y15" s="53">
        <v>157.32</v>
      </c>
      <c r="Z15" s="53">
        <v>85.51</v>
      </c>
      <c r="AA15" s="53">
        <v>90.76</v>
      </c>
      <c r="AB15" s="53">
        <v>363.44</v>
      </c>
      <c r="AC15" s="53">
        <v>-0.11</v>
      </c>
      <c r="AD15" s="53">
        <v>350.42</v>
      </c>
      <c r="AE15" s="53">
        <v>-0.88</v>
      </c>
      <c r="AF15" s="53">
        <v>63.59</v>
      </c>
      <c r="AG15" s="53">
        <v>-0.12</v>
      </c>
      <c r="AH15" s="53">
        <v>99.27</v>
      </c>
      <c r="AI15" s="53">
        <v>96.01</v>
      </c>
      <c r="AJ15" s="53">
        <v>103.38</v>
      </c>
      <c r="AK15" s="53">
        <v>48.5</v>
      </c>
      <c r="AL15" s="53">
        <v>42.98</v>
      </c>
      <c r="AM15" s="53">
        <v>40.71</v>
      </c>
      <c r="AN15" s="53">
        <v>41.2</v>
      </c>
      <c r="AO15" s="53">
        <v>38.72</v>
      </c>
      <c r="AP15" s="53">
        <v>9384.4699999999993</v>
      </c>
      <c r="AQ15" s="53">
        <v>6.72</v>
      </c>
      <c r="AR15" s="53">
        <v>6.72</v>
      </c>
      <c r="AS15" s="53">
        <v>6.68</v>
      </c>
      <c r="AT15" s="53">
        <v>6.72</v>
      </c>
      <c r="AU15" s="53">
        <v>1800.34</v>
      </c>
      <c r="AV15" s="53">
        <v>2189.02</v>
      </c>
      <c r="AW15" s="53">
        <v>592.98</v>
      </c>
      <c r="AX15" s="53">
        <v>423.88</v>
      </c>
      <c r="AY15" s="53">
        <v>1766.59</v>
      </c>
      <c r="AZ15" s="53">
        <v>1401.08</v>
      </c>
      <c r="BA15" s="53">
        <v>2805.43</v>
      </c>
      <c r="BB15" s="53">
        <v>2749.52</v>
      </c>
      <c r="BC15" s="53">
        <v>2394.56</v>
      </c>
      <c r="BD15" s="53">
        <v>2946.02</v>
      </c>
      <c r="BE15" s="53">
        <v>2862.42</v>
      </c>
      <c r="BF15" s="53">
        <v>2975.56</v>
      </c>
      <c r="BG15" s="53">
        <v>2847.54</v>
      </c>
      <c r="BH15" s="53">
        <v>1756.94</v>
      </c>
      <c r="BI15" s="53">
        <v>2345.59</v>
      </c>
      <c r="BJ15" s="53">
        <v>2795.01</v>
      </c>
      <c r="BK15" s="53">
        <v>2783.45</v>
      </c>
      <c r="BL15" s="53">
        <v>1814.6</v>
      </c>
      <c r="BM15" s="53">
        <v>2877.67</v>
      </c>
      <c r="BN15" s="53">
        <v>2836.78</v>
      </c>
    </row>
    <row r="16" spans="1:66" s="59" customFormat="1" ht="12.75" x14ac:dyDescent="0.2">
      <c r="A16" s="64" t="s">
        <v>203</v>
      </c>
      <c r="B16" s="53">
        <v>271.17</v>
      </c>
      <c r="C16" s="53">
        <v>684504.56</v>
      </c>
      <c r="D16" s="53">
        <v>819435.69</v>
      </c>
      <c r="E16" s="53">
        <v>392843.78</v>
      </c>
      <c r="F16" s="53">
        <v>1560902</v>
      </c>
      <c r="G16" s="53">
        <v>1874167.5</v>
      </c>
      <c r="H16" s="53">
        <v>9656000.9600000009</v>
      </c>
      <c r="I16" s="53">
        <v>226871.67</v>
      </c>
      <c r="J16" s="53">
        <v>9377.83</v>
      </c>
      <c r="K16" s="53">
        <v>907841.88</v>
      </c>
      <c r="L16" s="53">
        <v>1659109.13</v>
      </c>
      <c r="M16" s="53">
        <v>1852729.88</v>
      </c>
      <c r="N16" s="53">
        <v>218.49</v>
      </c>
      <c r="O16" s="53">
        <v>30370.41</v>
      </c>
      <c r="P16" s="53">
        <v>54428.15</v>
      </c>
      <c r="Q16" s="53">
        <v>95696.42</v>
      </c>
      <c r="R16" s="53">
        <v>114346.55</v>
      </c>
      <c r="S16" s="53">
        <v>109505.13</v>
      </c>
      <c r="T16" s="53">
        <v>56026.720000000001</v>
      </c>
      <c r="U16" s="53">
        <v>62778.59</v>
      </c>
      <c r="V16" s="53">
        <v>37.76</v>
      </c>
      <c r="W16" s="53">
        <v>37.71</v>
      </c>
      <c r="X16" s="53">
        <v>153.16</v>
      </c>
      <c r="Y16" s="53">
        <v>157.13</v>
      </c>
      <c r="Z16" s="53">
        <v>85.3</v>
      </c>
      <c r="AA16" s="53">
        <v>90.66</v>
      </c>
      <c r="AB16" s="53">
        <v>360.71</v>
      </c>
      <c r="AC16" s="53">
        <v>-0.11</v>
      </c>
      <c r="AD16" s="53">
        <v>347.89</v>
      </c>
      <c r="AE16" s="53">
        <v>-0.88</v>
      </c>
      <c r="AF16" s="53">
        <v>63.51</v>
      </c>
      <c r="AG16" s="53">
        <v>-0.12</v>
      </c>
      <c r="AH16" s="53">
        <v>99.34</v>
      </c>
      <c r="AI16" s="53">
        <v>96.06</v>
      </c>
      <c r="AJ16" s="53">
        <v>103.38</v>
      </c>
      <c r="AK16" s="53">
        <v>48.5</v>
      </c>
      <c r="AL16" s="53">
        <v>43.04</v>
      </c>
      <c r="AM16" s="53">
        <v>40.909999999999997</v>
      </c>
      <c r="AN16" s="53">
        <v>41.29</v>
      </c>
      <c r="AO16" s="53">
        <v>38.74</v>
      </c>
      <c r="AP16" s="53">
        <v>9335.9</v>
      </c>
      <c r="AQ16" s="53">
        <v>6.72</v>
      </c>
      <c r="AR16" s="53">
        <v>6.72</v>
      </c>
      <c r="AS16" s="53">
        <v>6.68</v>
      </c>
      <c r="AT16" s="53">
        <v>6.72</v>
      </c>
      <c r="AU16" s="53">
        <v>1800.43</v>
      </c>
      <c r="AV16" s="53">
        <v>2189.02</v>
      </c>
      <c r="AW16" s="53">
        <v>593.05999999999995</v>
      </c>
      <c r="AX16" s="53">
        <v>423.88</v>
      </c>
      <c r="AY16" s="53">
        <v>1766.67</v>
      </c>
      <c r="AZ16" s="53">
        <v>1401.08</v>
      </c>
      <c r="BA16" s="53">
        <v>2805.51</v>
      </c>
      <c r="BB16" s="53">
        <v>2749.6</v>
      </c>
      <c r="BC16" s="53">
        <v>2394.63</v>
      </c>
      <c r="BD16" s="53">
        <v>2946.11</v>
      </c>
      <c r="BE16" s="53">
        <v>2862.5</v>
      </c>
      <c r="BF16" s="53">
        <v>2975.64</v>
      </c>
      <c r="BG16" s="53">
        <v>2847.62</v>
      </c>
      <c r="BH16" s="53">
        <v>1757.02</v>
      </c>
      <c r="BI16" s="53">
        <v>2345.67</v>
      </c>
      <c r="BJ16" s="53">
        <v>2795.09</v>
      </c>
      <c r="BK16" s="53">
        <v>2783.53</v>
      </c>
      <c r="BL16" s="53">
        <v>1814.68</v>
      </c>
      <c r="BM16" s="53">
        <v>2877.75</v>
      </c>
      <c r="BN16" s="53">
        <v>2836.86</v>
      </c>
    </row>
    <row r="17" spans="1:66" s="59" customFormat="1" ht="12.75" x14ac:dyDescent="0.2">
      <c r="A17" s="64" t="s">
        <v>204</v>
      </c>
      <c r="B17" s="53">
        <v>273</v>
      </c>
      <c r="C17" s="53">
        <v>684540.94</v>
      </c>
      <c r="D17" s="53">
        <v>819435.69</v>
      </c>
      <c r="E17" s="53">
        <v>392880</v>
      </c>
      <c r="F17" s="53">
        <v>1560957.75</v>
      </c>
      <c r="G17" s="53">
        <v>1874225.75</v>
      </c>
      <c r="H17" s="53">
        <v>9656066.9600000009</v>
      </c>
      <c r="I17" s="53">
        <v>226871.67</v>
      </c>
      <c r="J17" s="53">
        <v>9378.1299999999992</v>
      </c>
      <c r="K17" s="53">
        <v>907874.56</v>
      </c>
      <c r="L17" s="53">
        <v>1659163</v>
      </c>
      <c r="M17" s="53">
        <v>1852797.5</v>
      </c>
      <c r="N17" s="53">
        <v>218.49</v>
      </c>
      <c r="O17" s="53">
        <v>30370.41</v>
      </c>
      <c r="P17" s="53">
        <v>54430.81</v>
      </c>
      <c r="Q17" s="53">
        <v>95699.88</v>
      </c>
      <c r="R17" s="53">
        <v>114349.98</v>
      </c>
      <c r="S17" s="53">
        <v>109508.52</v>
      </c>
      <c r="T17" s="53">
        <v>56029.17</v>
      </c>
      <c r="U17" s="53">
        <v>62778.59</v>
      </c>
      <c r="V17" s="53">
        <v>37.71</v>
      </c>
      <c r="W17" s="53">
        <v>37.619999999999997</v>
      </c>
      <c r="X17" s="53">
        <v>153.16999999999999</v>
      </c>
      <c r="Y17" s="53">
        <v>157.16</v>
      </c>
      <c r="Z17" s="53">
        <v>85.17</v>
      </c>
      <c r="AA17" s="53">
        <v>90.46</v>
      </c>
      <c r="AB17" s="53">
        <v>361.9</v>
      </c>
      <c r="AC17" s="53">
        <v>-0.11</v>
      </c>
      <c r="AD17" s="53">
        <v>349.23</v>
      </c>
      <c r="AE17" s="53">
        <v>-0.88</v>
      </c>
      <c r="AF17" s="53">
        <v>63.44</v>
      </c>
      <c r="AG17" s="53">
        <v>-0.12</v>
      </c>
      <c r="AH17" s="53">
        <v>99.36</v>
      </c>
      <c r="AI17" s="53">
        <v>95.99</v>
      </c>
      <c r="AJ17" s="53">
        <v>103.34</v>
      </c>
      <c r="AK17" s="53">
        <v>48.53</v>
      </c>
      <c r="AL17" s="53">
        <v>43.06</v>
      </c>
      <c r="AM17" s="53">
        <v>40.98</v>
      </c>
      <c r="AN17" s="53">
        <v>41.2</v>
      </c>
      <c r="AO17" s="53">
        <v>38.64</v>
      </c>
      <c r="AP17" s="53">
        <v>9375.2099999999991</v>
      </c>
      <c r="AQ17" s="53">
        <v>6.72</v>
      </c>
      <c r="AR17" s="53">
        <v>6.72</v>
      </c>
      <c r="AS17" s="53">
        <v>6.68</v>
      </c>
      <c r="AT17" s="53">
        <v>6.72</v>
      </c>
      <c r="AU17" s="53">
        <v>1800.52</v>
      </c>
      <c r="AV17" s="53">
        <v>2189.02</v>
      </c>
      <c r="AW17" s="53">
        <v>593.15</v>
      </c>
      <c r="AX17" s="53">
        <v>423.88</v>
      </c>
      <c r="AY17" s="53">
        <v>1766.76</v>
      </c>
      <c r="AZ17" s="53">
        <v>1401.08</v>
      </c>
      <c r="BA17" s="53">
        <v>2805.6</v>
      </c>
      <c r="BB17" s="53">
        <v>2749.69</v>
      </c>
      <c r="BC17" s="53">
        <v>2394.73</v>
      </c>
      <c r="BD17" s="53">
        <v>2946.19</v>
      </c>
      <c r="BE17" s="53">
        <v>2862.59</v>
      </c>
      <c r="BF17" s="53">
        <v>2975.73</v>
      </c>
      <c r="BG17" s="53">
        <v>2847.71</v>
      </c>
      <c r="BH17" s="53">
        <v>1757.11</v>
      </c>
      <c r="BI17" s="53">
        <v>2345.7600000000002</v>
      </c>
      <c r="BJ17" s="53">
        <v>2795.19</v>
      </c>
      <c r="BK17" s="53">
        <v>2783.62</v>
      </c>
      <c r="BL17" s="53">
        <v>1814.78</v>
      </c>
      <c r="BM17" s="53">
        <v>2877.85</v>
      </c>
      <c r="BN17" s="53">
        <v>2836.96</v>
      </c>
    </row>
    <row r="18" spans="1:66" s="59" customFormat="1" ht="12.75" x14ac:dyDescent="0.2">
      <c r="A18" s="64" t="s">
        <v>205</v>
      </c>
      <c r="B18" s="53">
        <v>273.02999999999997</v>
      </c>
      <c r="C18" s="53">
        <v>684577.5</v>
      </c>
      <c r="D18" s="53">
        <v>819435.69</v>
      </c>
      <c r="E18" s="53">
        <v>392916.28</v>
      </c>
      <c r="F18" s="53">
        <v>1561014</v>
      </c>
      <c r="G18" s="53">
        <v>1874284.5</v>
      </c>
      <c r="H18" s="53">
        <v>9656133.3900000006</v>
      </c>
      <c r="I18" s="53">
        <v>226871.67</v>
      </c>
      <c r="J18" s="53">
        <v>9378.3700000000008</v>
      </c>
      <c r="K18" s="53">
        <v>907907.31</v>
      </c>
      <c r="L18" s="53">
        <v>1659216.63</v>
      </c>
      <c r="M18" s="53">
        <v>1852865.5</v>
      </c>
      <c r="N18" s="53">
        <v>218.49</v>
      </c>
      <c r="O18" s="53">
        <v>30370.41</v>
      </c>
      <c r="P18" s="53">
        <v>54433.66</v>
      </c>
      <c r="Q18" s="53">
        <v>95703.43</v>
      </c>
      <c r="R18" s="53">
        <v>114353.3</v>
      </c>
      <c r="S18" s="53">
        <v>109512.01</v>
      </c>
      <c r="T18" s="53">
        <v>56031.7</v>
      </c>
      <c r="U18" s="53">
        <v>62778.67</v>
      </c>
      <c r="V18" s="53">
        <v>37.65</v>
      </c>
      <c r="W18" s="53">
        <v>37.58</v>
      </c>
      <c r="X18" s="53">
        <v>152.75</v>
      </c>
      <c r="Y18" s="53">
        <v>156.6</v>
      </c>
      <c r="Z18" s="53">
        <v>85.56</v>
      </c>
      <c r="AA18" s="53">
        <v>90.47</v>
      </c>
      <c r="AB18" s="53">
        <v>363.79</v>
      </c>
      <c r="AC18" s="53">
        <v>-0.11</v>
      </c>
      <c r="AD18" s="53">
        <v>351.03</v>
      </c>
      <c r="AE18" s="53">
        <v>-0.88</v>
      </c>
      <c r="AF18" s="53">
        <v>63.56</v>
      </c>
      <c r="AG18" s="53">
        <v>-0.12</v>
      </c>
      <c r="AH18" s="53">
        <v>99.21</v>
      </c>
      <c r="AI18" s="53">
        <v>95.83</v>
      </c>
      <c r="AJ18" s="53">
        <v>103.12</v>
      </c>
      <c r="AK18" s="53">
        <v>48.5</v>
      </c>
      <c r="AL18" s="53">
        <v>43.1</v>
      </c>
      <c r="AM18" s="53">
        <v>41.18</v>
      </c>
      <c r="AN18" s="53">
        <v>41.25</v>
      </c>
      <c r="AO18" s="53">
        <v>38.64</v>
      </c>
      <c r="AP18" s="53">
        <v>9390.42</v>
      </c>
      <c r="AQ18" s="53">
        <v>6.71</v>
      </c>
      <c r="AR18" s="53">
        <v>6.71</v>
      </c>
      <c r="AS18" s="53">
        <v>6.68</v>
      </c>
      <c r="AT18" s="53">
        <v>6.72</v>
      </c>
      <c r="AU18" s="53">
        <v>1800.61</v>
      </c>
      <c r="AV18" s="53">
        <v>2189.02</v>
      </c>
      <c r="AW18" s="53">
        <v>593.24</v>
      </c>
      <c r="AX18" s="53">
        <v>423.88</v>
      </c>
      <c r="AY18" s="53">
        <v>1766.85</v>
      </c>
      <c r="AZ18" s="53">
        <v>1401.08</v>
      </c>
      <c r="BA18" s="53">
        <v>2805.69</v>
      </c>
      <c r="BB18" s="53">
        <v>2749.78</v>
      </c>
      <c r="BC18" s="53">
        <v>2394.8200000000002</v>
      </c>
      <c r="BD18" s="53">
        <v>2946.29</v>
      </c>
      <c r="BE18" s="53">
        <v>2862.68</v>
      </c>
      <c r="BF18" s="53">
        <v>2975.83</v>
      </c>
      <c r="BG18" s="53">
        <v>2847.8</v>
      </c>
      <c r="BH18" s="53">
        <v>1757.2</v>
      </c>
      <c r="BI18" s="53">
        <v>2345.85</v>
      </c>
      <c r="BJ18" s="53">
        <v>2795.27</v>
      </c>
      <c r="BK18" s="53">
        <v>2783.71</v>
      </c>
      <c r="BL18" s="53">
        <v>1814.87</v>
      </c>
      <c r="BM18" s="53">
        <v>2877.93</v>
      </c>
      <c r="BN18" s="53">
        <v>2837.05</v>
      </c>
    </row>
    <row r="19" spans="1:66" s="59" customFormat="1" ht="12.75" x14ac:dyDescent="0.2">
      <c r="A19" s="64" t="s">
        <v>206</v>
      </c>
      <c r="B19" s="53">
        <v>272.44</v>
      </c>
      <c r="C19" s="53">
        <v>684614.19</v>
      </c>
      <c r="D19" s="53">
        <v>819435.69</v>
      </c>
      <c r="E19" s="53">
        <v>392952.66</v>
      </c>
      <c r="F19" s="53">
        <v>1561070.38</v>
      </c>
      <c r="G19" s="53">
        <v>1874343.25</v>
      </c>
      <c r="H19" s="53">
        <v>9656199.7899999991</v>
      </c>
      <c r="I19" s="53">
        <v>226871.67</v>
      </c>
      <c r="J19" s="53">
        <v>9378.58</v>
      </c>
      <c r="K19" s="53">
        <v>907940.06</v>
      </c>
      <c r="L19" s="53">
        <v>1659270.25</v>
      </c>
      <c r="M19" s="53">
        <v>1852933.75</v>
      </c>
      <c r="N19" s="53">
        <v>218.49</v>
      </c>
      <c r="O19" s="53">
        <v>30370.41</v>
      </c>
      <c r="P19" s="53">
        <v>54436.32</v>
      </c>
      <c r="Q19" s="53">
        <v>95706.880000000005</v>
      </c>
      <c r="R19" s="53">
        <v>114356.62</v>
      </c>
      <c r="S19" s="53">
        <v>109515.39</v>
      </c>
      <c r="T19" s="53">
        <v>56034.15</v>
      </c>
      <c r="U19" s="53">
        <v>62778.67</v>
      </c>
      <c r="V19" s="53">
        <v>37.630000000000003</v>
      </c>
      <c r="W19" s="53">
        <v>37.520000000000003</v>
      </c>
      <c r="X19" s="53">
        <v>152.03</v>
      </c>
      <c r="Y19" s="53">
        <v>156.13</v>
      </c>
      <c r="Z19" s="53">
        <v>86.04</v>
      </c>
      <c r="AA19" s="53">
        <v>90.37</v>
      </c>
      <c r="AB19" s="53">
        <v>364.67</v>
      </c>
      <c r="AC19" s="53">
        <v>-0.11</v>
      </c>
      <c r="AD19" s="53">
        <v>351.22</v>
      </c>
      <c r="AE19" s="53">
        <v>-0.88</v>
      </c>
      <c r="AF19" s="53">
        <v>63.5</v>
      </c>
      <c r="AG19" s="53">
        <v>-0.12</v>
      </c>
      <c r="AH19" s="53">
        <v>99</v>
      </c>
      <c r="AI19" s="53">
        <v>95.72</v>
      </c>
      <c r="AJ19" s="53">
        <v>102.96</v>
      </c>
      <c r="AK19" s="53">
        <v>48.45</v>
      </c>
      <c r="AL19" s="53">
        <v>43.23</v>
      </c>
      <c r="AM19" s="53">
        <v>41.21</v>
      </c>
      <c r="AN19" s="53">
        <v>41.33</v>
      </c>
      <c r="AO19" s="53">
        <v>38.68</v>
      </c>
      <c r="AP19" s="53">
        <v>9402.0400000000009</v>
      </c>
      <c r="AQ19" s="53">
        <v>6.71</v>
      </c>
      <c r="AR19" s="53">
        <v>6.71</v>
      </c>
      <c r="AS19" s="53">
        <v>6.68</v>
      </c>
      <c r="AT19" s="53">
        <v>6.72</v>
      </c>
      <c r="AU19" s="53">
        <v>1800.69</v>
      </c>
      <c r="AV19" s="53">
        <v>2189.02</v>
      </c>
      <c r="AW19" s="53">
        <v>593.32000000000005</v>
      </c>
      <c r="AX19" s="53">
        <v>423.88</v>
      </c>
      <c r="AY19" s="53">
        <v>1766.93</v>
      </c>
      <c r="AZ19" s="53">
        <v>1401.08</v>
      </c>
      <c r="BA19" s="53">
        <v>2805.77</v>
      </c>
      <c r="BB19" s="53">
        <v>2749.86</v>
      </c>
      <c r="BC19" s="53">
        <v>2394.9</v>
      </c>
      <c r="BD19" s="53">
        <v>2946.37</v>
      </c>
      <c r="BE19" s="53">
        <v>2862.76</v>
      </c>
      <c r="BF19" s="53">
        <v>2975.91</v>
      </c>
      <c r="BG19" s="53">
        <v>2847.88</v>
      </c>
      <c r="BH19" s="53">
        <v>1757.28</v>
      </c>
      <c r="BI19" s="53">
        <v>2345.9299999999998</v>
      </c>
      <c r="BJ19" s="53">
        <v>2795.35</v>
      </c>
      <c r="BK19" s="53">
        <v>2783.79</v>
      </c>
      <c r="BL19" s="53">
        <v>1814.95</v>
      </c>
      <c r="BM19" s="53">
        <v>2878.01</v>
      </c>
      <c r="BN19" s="53">
        <v>2837.13</v>
      </c>
    </row>
    <row r="20" spans="1:66" s="59" customFormat="1" ht="12.75" x14ac:dyDescent="0.2">
      <c r="A20" s="64" t="s">
        <v>207</v>
      </c>
      <c r="B20" s="53">
        <v>273.08999999999997</v>
      </c>
      <c r="C20" s="53">
        <v>684650.56</v>
      </c>
      <c r="D20" s="53">
        <v>819435.69</v>
      </c>
      <c r="E20" s="53">
        <v>392988.81</v>
      </c>
      <c r="F20" s="53">
        <v>1561126.38</v>
      </c>
      <c r="G20" s="53">
        <v>1874401.75</v>
      </c>
      <c r="H20" s="53">
        <v>9656266.1099999994</v>
      </c>
      <c r="I20" s="53">
        <v>226871.67</v>
      </c>
      <c r="J20" s="53">
        <v>9378.7800000000007</v>
      </c>
      <c r="K20" s="53">
        <v>907972.75</v>
      </c>
      <c r="L20" s="53">
        <v>1659323.75</v>
      </c>
      <c r="M20" s="53">
        <v>1853001.5</v>
      </c>
      <c r="N20" s="53">
        <v>218.49</v>
      </c>
      <c r="O20" s="53">
        <v>30370.41</v>
      </c>
      <c r="P20" s="53">
        <v>54439.07</v>
      </c>
      <c r="Q20" s="53">
        <v>95710.34</v>
      </c>
      <c r="R20" s="53">
        <v>114360.05</v>
      </c>
      <c r="S20" s="53">
        <v>109518.77</v>
      </c>
      <c r="T20" s="53">
        <v>56036.59</v>
      </c>
      <c r="U20" s="53">
        <v>62779.11</v>
      </c>
      <c r="V20" s="53">
        <v>37.630000000000003</v>
      </c>
      <c r="W20" s="53">
        <v>37.520000000000003</v>
      </c>
      <c r="X20" s="53">
        <v>152.55000000000001</v>
      </c>
      <c r="Y20" s="53">
        <v>156.5</v>
      </c>
      <c r="Z20" s="53">
        <v>85.93</v>
      </c>
      <c r="AA20" s="53">
        <v>90.36</v>
      </c>
      <c r="AB20" s="53">
        <v>361.88</v>
      </c>
      <c r="AC20" s="53">
        <v>-0.11</v>
      </c>
      <c r="AD20" s="53">
        <v>349.12</v>
      </c>
      <c r="AE20" s="53">
        <v>-0.88</v>
      </c>
      <c r="AF20" s="53">
        <v>63.49</v>
      </c>
      <c r="AG20" s="53">
        <v>-0.12</v>
      </c>
      <c r="AH20" s="53">
        <v>99.19</v>
      </c>
      <c r="AI20" s="53">
        <v>95.93</v>
      </c>
      <c r="AJ20" s="53">
        <v>103.31</v>
      </c>
      <c r="AK20" s="53">
        <v>48.47</v>
      </c>
      <c r="AL20" s="53">
        <v>43.27</v>
      </c>
      <c r="AM20" s="53">
        <v>41.27</v>
      </c>
      <c r="AN20" s="53">
        <v>41.3</v>
      </c>
      <c r="AO20" s="53">
        <v>38.590000000000003</v>
      </c>
      <c r="AP20" s="53">
        <v>9369.25</v>
      </c>
      <c r="AQ20" s="53">
        <v>6.71</v>
      </c>
      <c r="AR20" s="53">
        <v>6.71</v>
      </c>
      <c r="AS20" s="53">
        <v>6.68</v>
      </c>
      <c r="AT20" s="53">
        <v>6.72</v>
      </c>
      <c r="AU20" s="53">
        <v>1800.77</v>
      </c>
      <c r="AV20" s="53">
        <v>2189.02</v>
      </c>
      <c r="AW20" s="53">
        <v>593.4</v>
      </c>
      <c r="AX20" s="53">
        <v>423.88</v>
      </c>
      <c r="AY20" s="53">
        <v>1767.01</v>
      </c>
      <c r="AZ20" s="53">
        <v>1401.08</v>
      </c>
      <c r="BA20" s="53">
        <v>2805.85</v>
      </c>
      <c r="BB20" s="53">
        <v>2749.94</v>
      </c>
      <c r="BC20" s="53">
        <v>2394.98</v>
      </c>
      <c r="BD20" s="53">
        <v>2946.45</v>
      </c>
      <c r="BE20" s="53">
        <v>2862.84</v>
      </c>
      <c r="BF20" s="53">
        <v>2975.99</v>
      </c>
      <c r="BG20" s="53">
        <v>2847.96</v>
      </c>
      <c r="BH20" s="53">
        <v>1757.36</v>
      </c>
      <c r="BI20" s="53">
        <v>2346.0100000000002</v>
      </c>
      <c r="BJ20" s="53">
        <v>2795.43</v>
      </c>
      <c r="BK20" s="53">
        <v>2783.87</v>
      </c>
      <c r="BL20" s="53">
        <v>1815.03</v>
      </c>
      <c r="BM20" s="53">
        <v>2878.09</v>
      </c>
      <c r="BN20" s="53">
        <v>2837.21</v>
      </c>
    </row>
    <row r="21" spans="1:66" s="59" customFormat="1" ht="12.75" x14ac:dyDescent="0.2">
      <c r="A21" s="64" t="s">
        <v>208</v>
      </c>
      <c r="B21" s="53">
        <v>274.14999999999998</v>
      </c>
      <c r="C21" s="53">
        <v>684687.25</v>
      </c>
      <c r="D21" s="53">
        <v>819435.69</v>
      </c>
      <c r="E21" s="53">
        <v>393025.22</v>
      </c>
      <c r="F21" s="53">
        <v>1561182.75</v>
      </c>
      <c r="G21" s="53">
        <v>1874460.5</v>
      </c>
      <c r="H21" s="53">
        <v>9656332.5099999998</v>
      </c>
      <c r="I21" s="53">
        <v>226871.67</v>
      </c>
      <c r="J21" s="53">
        <v>9379.08</v>
      </c>
      <c r="K21" s="53">
        <v>908005.38</v>
      </c>
      <c r="L21" s="53">
        <v>1659377.13</v>
      </c>
      <c r="M21" s="53">
        <v>1853069.75</v>
      </c>
      <c r="N21" s="53">
        <v>218.49</v>
      </c>
      <c r="O21" s="53">
        <v>30370.41</v>
      </c>
      <c r="P21" s="53">
        <v>54442</v>
      </c>
      <c r="Q21" s="53">
        <v>95713.89</v>
      </c>
      <c r="R21" s="53">
        <v>114363.37</v>
      </c>
      <c r="S21" s="53">
        <v>109522.27</v>
      </c>
      <c r="T21" s="53">
        <v>56039.01</v>
      </c>
      <c r="U21" s="53">
        <v>62779.32</v>
      </c>
      <c r="V21" s="53">
        <v>37.58</v>
      </c>
      <c r="W21" s="53">
        <v>37.47</v>
      </c>
      <c r="X21" s="53">
        <v>151.81</v>
      </c>
      <c r="Y21" s="53">
        <v>156.41999999999999</v>
      </c>
      <c r="Z21" s="53">
        <v>85.39</v>
      </c>
      <c r="AA21" s="53">
        <v>90.02</v>
      </c>
      <c r="AB21" s="53">
        <v>365.78</v>
      </c>
      <c r="AC21" s="53">
        <v>-0.11</v>
      </c>
      <c r="AD21" s="53">
        <v>352.58</v>
      </c>
      <c r="AE21" s="53">
        <v>-0.88</v>
      </c>
      <c r="AF21" s="53">
        <v>63.54</v>
      </c>
      <c r="AG21" s="53">
        <v>-0.12</v>
      </c>
      <c r="AH21" s="53">
        <v>99.04</v>
      </c>
      <c r="AI21" s="53">
        <v>95.94</v>
      </c>
      <c r="AJ21" s="53">
        <v>103.33</v>
      </c>
      <c r="AK21" s="53">
        <v>48.47</v>
      </c>
      <c r="AL21" s="53">
        <v>43.39</v>
      </c>
      <c r="AM21" s="53">
        <v>41.4</v>
      </c>
      <c r="AN21" s="53">
        <v>41.29</v>
      </c>
      <c r="AO21" s="53">
        <v>38.46</v>
      </c>
      <c r="AP21" s="53">
        <v>9463.34</v>
      </c>
      <c r="AQ21" s="53">
        <v>6.71</v>
      </c>
      <c r="AR21" s="53">
        <v>6.71</v>
      </c>
      <c r="AS21" s="53">
        <v>6.68</v>
      </c>
      <c r="AT21" s="53">
        <v>6.72</v>
      </c>
      <c r="AU21" s="53">
        <v>1800.85</v>
      </c>
      <c r="AV21" s="53">
        <v>2189.02</v>
      </c>
      <c r="AW21" s="53">
        <v>593.48</v>
      </c>
      <c r="AX21" s="53">
        <v>423.88</v>
      </c>
      <c r="AY21" s="53">
        <v>1767.09</v>
      </c>
      <c r="AZ21" s="53">
        <v>1401.08</v>
      </c>
      <c r="BA21" s="53">
        <v>2805.93</v>
      </c>
      <c r="BB21" s="53">
        <v>2750.02</v>
      </c>
      <c r="BC21" s="53">
        <v>2395.06</v>
      </c>
      <c r="BD21" s="53">
        <v>2946.53</v>
      </c>
      <c r="BE21" s="53">
        <v>2862.92</v>
      </c>
      <c r="BF21" s="53">
        <v>2976.06</v>
      </c>
      <c r="BG21" s="53">
        <v>2848.04</v>
      </c>
      <c r="BH21" s="53">
        <v>1757.44</v>
      </c>
      <c r="BI21" s="53">
        <v>2346.09</v>
      </c>
      <c r="BJ21" s="53">
        <v>2795.51</v>
      </c>
      <c r="BK21" s="53">
        <v>2783.95</v>
      </c>
      <c r="BL21" s="53">
        <v>1815.11</v>
      </c>
      <c r="BM21" s="53">
        <v>2878.17</v>
      </c>
      <c r="BN21" s="53">
        <v>2837.29</v>
      </c>
    </row>
    <row r="22" spans="1:66" s="59" customFormat="1" ht="12.75" x14ac:dyDescent="0.2">
      <c r="A22" s="64" t="s">
        <v>209</v>
      </c>
      <c r="B22" s="53">
        <v>270.33</v>
      </c>
      <c r="C22" s="53">
        <v>684723.94</v>
      </c>
      <c r="D22" s="53">
        <v>819435.69</v>
      </c>
      <c r="E22" s="53">
        <v>393061.53</v>
      </c>
      <c r="F22" s="53">
        <v>1561239.38</v>
      </c>
      <c r="G22" s="53">
        <v>1874519.5</v>
      </c>
      <c r="H22" s="53">
        <v>9656399.1400000006</v>
      </c>
      <c r="I22" s="53">
        <v>226871.67</v>
      </c>
      <c r="J22" s="53">
        <v>9379.2900000000009</v>
      </c>
      <c r="K22" s="53">
        <v>908037.81</v>
      </c>
      <c r="L22" s="53">
        <v>1659430.5</v>
      </c>
      <c r="M22" s="53">
        <v>1853138</v>
      </c>
      <c r="N22" s="53">
        <v>218.49</v>
      </c>
      <c r="O22" s="53">
        <v>30370.41</v>
      </c>
      <c r="P22" s="53">
        <v>54444.71</v>
      </c>
      <c r="Q22" s="53">
        <v>95717.34</v>
      </c>
      <c r="R22" s="53">
        <v>114366.68</v>
      </c>
      <c r="S22" s="53">
        <v>109525.66</v>
      </c>
      <c r="T22" s="53">
        <v>56041.37</v>
      </c>
      <c r="U22" s="53">
        <v>62779.32</v>
      </c>
      <c r="V22" s="53">
        <v>37.54</v>
      </c>
      <c r="W22" s="53">
        <v>37.43</v>
      </c>
      <c r="X22" s="53">
        <v>152.08000000000001</v>
      </c>
      <c r="Y22" s="53">
        <v>156.28</v>
      </c>
      <c r="Z22" s="53">
        <v>85.32</v>
      </c>
      <c r="AA22" s="53">
        <v>89.88</v>
      </c>
      <c r="AB22" s="53">
        <v>364.31</v>
      </c>
      <c r="AC22" s="53">
        <v>-0.11</v>
      </c>
      <c r="AD22" s="53">
        <v>350.7</v>
      </c>
      <c r="AE22" s="53">
        <v>-0.88</v>
      </c>
      <c r="AF22" s="53">
        <v>63.63</v>
      </c>
      <c r="AG22" s="53">
        <v>-0.12</v>
      </c>
      <c r="AH22" s="53">
        <v>98.99</v>
      </c>
      <c r="AI22" s="53">
        <v>95.89</v>
      </c>
      <c r="AJ22" s="53">
        <v>103.32</v>
      </c>
      <c r="AK22" s="53">
        <v>48.34</v>
      </c>
      <c r="AL22" s="53">
        <v>43.27</v>
      </c>
      <c r="AM22" s="53">
        <v>41.39</v>
      </c>
      <c r="AN22" s="53">
        <v>41.22</v>
      </c>
      <c r="AO22" s="53">
        <v>38.049999999999997</v>
      </c>
      <c r="AP22" s="53">
        <v>9409.82</v>
      </c>
      <c r="AQ22" s="53">
        <v>6.71</v>
      </c>
      <c r="AR22" s="53">
        <v>6.71</v>
      </c>
      <c r="AS22" s="53">
        <v>6.68</v>
      </c>
      <c r="AT22" s="53">
        <v>6.72</v>
      </c>
      <c r="AU22" s="53">
        <v>1800.93</v>
      </c>
      <c r="AV22" s="53">
        <v>2189.02</v>
      </c>
      <c r="AW22" s="53">
        <v>593.55999999999995</v>
      </c>
      <c r="AX22" s="53">
        <v>423.88</v>
      </c>
      <c r="AY22" s="53">
        <v>1767.17</v>
      </c>
      <c r="AZ22" s="53">
        <v>1401.08</v>
      </c>
      <c r="BA22" s="53">
        <v>2806.01</v>
      </c>
      <c r="BB22" s="53">
        <v>2750.1</v>
      </c>
      <c r="BC22" s="53">
        <v>2395.14</v>
      </c>
      <c r="BD22" s="53">
        <v>2946.61</v>
      </c>
      <c r="BE22" s="53">
        <v>2863</v>
      </c>
      <c r="BF22" s="53">
        <v>2976.14</v>
      </c>
      <c r="BG22" s="53">
        <v>2848.12</v>
      </c>
      <c r="BH22" s="53">
        <v>1757.52</v>
      </c>
      <c r="BI22" s="53">
        <v>2346.17</v>
      </c>
      <c r="BJ22" s="53">
        <v>2795.59</v>
      </c>
      <c r="BK22" s="53">
        <v>2784.03</v>
      </c>
      <c r="BL22" s="53">
        <v>1815.19</v>
      </c>
      <c r="BM22" s="53">
        <v>2878.25</v>
      </c>
      <c r="BN22" s="53">
        <v>2837.37</v>
      </c>
    </row>
    <row r="23" spans="1:66" s="59" customFormat="1" ht="12.75" x14ac:dyDescent="0.2">
      <c r="A23" s="64" t="s">
        <v>210</v>
      </c>
      <c r="B23" s="53">
        <v>268.22000000000003</v>
      </c>
      <c r="C23" s="53">
        <v>684760.13</v>
      </c>
      <c r="D23" s="53">
        <v>819435.69</v>
      </c>
      <c r="E23" s="53">
        <v>393097.53</v>
      </c>
      <c r="F23" s="53">
        <v>1561295</v>
      </c>
      <c r="G23" s="53">
        <v>1874577.63</v>
      </c>
      <c r="H23" s="53">
        <v>9656465</v>
      </c>
      <c r="I23" s="53">
        <v>226871.67</v>
      </c>
      <c r="J23" s="53">
        <v>9379.5</v>
      </c>
      <c r="K23" s="53">
        <v>908070.06</v>
      </c>
      <c r="L23" s="53">
        <v>1659483.75</v>
      </c>
      <c r="M23" s="53">
        <v>1853205.25</v>
      </c>
      <c r="N23" s="53">
        <v>218.49</v>
      </c>
      <c r="O23" s="53">
        <v>30370.41</v>
      </c>
      <c r="P23" s="53">
        <v>54447.360000000001</v>
      </c>
      <c r="Q23" s="53">
        <v>95720.83</v>
      </c>
      <c r="R23" s="53">
        <v>114370.09</v>
      </c>
      <c r="S23" s="53">
        <v>109529.04</v>
      </c>
      <c r="T23" s="53">
        <v>56043.72</v>
      </c>
      <c r="U23" s="53">
        <v>62779.42</v>
      </c>
      <c r="V23" s="53">
        <v>37.520000000000003</v>
      </c>
      <c r="W23" s="53">
        <v>37.39</v>
      </c>
      <c r="X23" s="53">
        <v>152.08000000000001</v>
      </c>
      <c r="Y23" s="53">
        <v>156.13</v>
      </c>
      <c r="Z23" s="53">
        <v>84.95</v>
      </c>
      <c r="AA23" s="53">
        <v>89.58</v>
      </c>
      <c r="AB23" s="53">
        <v>355.25</v>
      </c>
      <c r="AC23" s="53">
        <v>-0.11</v>
      </c>
      <c r="AD23" s="53">
        <v>343.14</v>
      </c>
      <c r="AE23" s="53">
        <v>-0.88</v>
      </c>
      <c r="AF23" s="53">
        <v>63.19</v>
      </c>
      <c r="AG23" s="53">
        <v>-0.12</v>
      </c>
      <c r="AH23" s="53">
        <v>99.07</v>
      </c>
      <c r="AI23" s="53">
        <v>95.93</v>
      </c>
      <c r="AJ23" s="53">
        <v>103.38</v>
      </c>
      <c r="AK23" s="53">
        <v>48.66</v>
      </c>
      <c r="AL23" s="53">
        <v>43.45</v>
      </c>
      <c r="AM23" s="53">
        <v>41.53</v>
      </c>
      <c r="AN23" s="53">
        <v>41.25</v>
      </c>
      <c r="AO23" s="53">
        <v>38.090000000000003</v>
      </c>
      <c r="AP23" s="53">
        <v>9290.5</v>
      </c>
      <c r="AQ23" s="53">
        <v>6.71</v>
      </c>
      <c r="AR23" s="53">
        <v>6.71</v>
      </c>
      <c r="AS23" s="53">
        <v>6.68</v>
      </c>
      <c r="AT23" s="53">
        <v>6.72</v>
      </c>
      <c r="AU23" s="53">
        <v>1801.01</v>
      </c>
      <c r="AV23" s="53">
        <v>2189.02</v>
      </c>
      <c r="AW23" s="53">
        <v>593.65</v>
      </c>
      <c r="AX23" s="53">
        <v>423.88</v>
      </c>
      <c r="AY23" s="53">
        <v>1767.26</v>
      </c>
      <c r="AZ23" s="53">
        <v>1401.08</v>
      </c>
      <c r="BA23" s="53">
        <v>2806.09</v>
      </c>
      <c r="BB23" s="53">
        <v>2750.18</v>
      </c>
      <c r="BC23" s="53">
        <v>2395.2199999999998</v>
      </c>
      <c r="BD23" s="53">
        <v>2946.69</v>
      </c>
      <c r="BE23" s="53">
        <v>2863.08</v>
      </c>
      <c r="BF23" s="53">
        <v>2976.23</v>
      </c>
      <c r="BG23" s="53">
        <v>2848.2</v>
      </c>
      <c r="BH23" s="53">
        <v>1757.61</v>
      </c>
      <c r="BI23" s="53">
        <v>2346.25</v>
      </c>
      <c r="BJ23" s="53">
        <v>2795.68</v>
      </c>
      <c r="BK23" s="53">
        <v>2784.12</v>
      </c>
      <c r="BL23" s="53">
        <v>1815.27</v>
      </c>
      <c r="BM23" s="53">
        <v>2878.34</v>
      </c>
      <c r="BN23" s="53">
        <v>2837.45</v>
      </c>
    </row>
    <row r="24" spans="1:66" s="59" customFormat="1" ht="12.75" x14ac:dyDescent="0.2">
      <c r="A24" s="64" t="s">
        <v>211</v>
      </c>
      <c r="B24" s="53">
        <v>271.31</v>
      </c>
      <c r="C24" s="53">
        <v>684796.19</v>
      </c>
      <c r="D24" s="53">
        <v>819435.69</v>
      </c>
      <c r="E24" s="53">
        <v>393133.22</v>
      </c>
      <c r="F24" s="53">
        <v>1561350.25</v>
      </c>
      <c r="G24" s="53">
        <v>1874635.25</v>
      </c>
      <c r="H24" s="53">
        <v>9656530.4600000009</v>
      </c>
      <c r="I24" s="53">
        <v>226871.67</v>
      </c>
      <c r="J24" s="53">
        <v>9379.81</v>
      </c>
      <c r="K24" s="53">
        <v>908102.38</v>
      </c>
      <c r="L24" s="53">
        <v>1659536.88</v>
      </c>
      <c r="M24" s="53">
        <v>1853272.25</v>
      </c>
      <c r="N24" s="53">
        <v>218.49</v>
      </c>
      <c r="O24" s="53">
        <v>30370.41</v>
      </c>
      <c r="P24" s="53">
        <v>54450.15</v>
      </c>
      <c r="Q24" s="53">
        <v>95724.47</v>
      </c>
      <c r="R24" s="53">
        <v>114373.48</v>
      </c>
      <c r="S24" s="53">
        <v>109532.53</v>
      </c>
      <c r="T24" s="53">
        <v>56046.05</v>
      </c>
      <c r="U24" s="53">
        <v>62779.73</v>
      </c>
      <c r="V24" s="53">
        <v>37.46</v>
      </c>
      <c r="W24" s="53">
        <v>37.35</v>
      </c>
      <c r="X24" s="53">
        <v>151.41999999999999</v>
      </c>
      <c r="Y24" s="53">
        <v>155.72999999999999</v>
      </c>
      <c r="Z24" s="53">
        <v>84.75</v>
      </c>
      <c r="AA24" s="53">
        <v>89.39</v>
      </c>
      <c r="AB24" s="53">
        <v>355.76</v>
      </c>
      <c r="AC24" s="53">
        <v>-0.11</v>
      </c>
      <c r="AD24" s="53">
        <v>343.67</v>
      </c>
      <c r="AE24" s="53">
        <v>-0.88</v>
      </c>
      <c r="AF24" s="53">
        <v>62.88</v>
      </c>
      <c r="AG24" s="53">
        <v>-0.12</v>
      </c>
      <c r="AH24" s="53">
        <v>98.97</v>
      </c>
      <c r="AI24" s="53">
        <v>95.65</v>
      </c>
      <c r="AJ24" s="53">
        <v>103.06</v>
      </c>
      <c r="AK24" s="53">
        <v>48.78</v>
      </c>
      <c r="AL24" s="53">
        <v>43.52</v>
      </c>
      <c r="AM24" s="53">
        <v>42.01</v>
      </c>
      <c r="AN24" s="53">
        <v>41.18</v>
      </c>
      <c r="AO24" s="53">
        <v>38.130000000000003</v>
      </c>
      <c r="AP24" s="53">
        <v>9315.58</v>
      </c>
      <c r="AQ24" s="53">
        <v>6.71</v>
      </c>
      <c r="AR24" s="53">
        <v>6.71</v>
      </c>
      <c r="AS24" s="53">
        <v>6.68</v>
      </c>
      <c r="AT24" s="53">
        <v>6.72</v>
      </c>
      <c r="AU24" s="53">
        <v>1801.11</v>
      </c>
      <c r="AV24" s="53">
        <v>2189.02</v>
      </c>
      <c r="AW24" s="53">
        <v>593.74</v>
      </c>
      <c r="AX24" s="53">
        <v>423.88</v>
      </c>
      <c r="AY24" s="53">
        <v>1767.35</v>
      </c>
      <c r="AZ24" s="53">
        <v>1401.08</v>
      </c>
      <c r="BA24" s="53">
        <v>2806.19</v>
      </c>
      <c r="BB24" s="53">
        <v>2750.28</v>
      </c>
      <c r="BC24" s="53">
        <v>2395.3200000000002</v>
      </c>
      <c r="BD24" s="53">
        <v>2946.79</v>
      </c>
      <c r="BE24" s="53">
        <v>2863.18</v>
      </c>
      <c r="BF24" s="53">
        <v>2976.33</v>
      </c>
      <c r="BG24" s="53">
        <v>2848.3</v>
      </c>
      <c r="BH24" s="53">
        <v>1757.7</v>
      </c>
      <c r="BI24" s="53">
        <v>2346.35</v>
      </c>
      <c r="BJ24" s="53">
        <v>2795.77</v>
      </c>
      <c r="BK24" s="53">
        <v>2784.21</v>
      </c>
      <c r="BL24" s="53">
        <v>1815.37</v>
      </c>
      <c r="BM24" s="53">
        <v>2878.43</v>
      </c>
      <c r="BN24" s="53">
        <v>2837.55</v>
      </c>
    </row>
    <row r="25" spans="1:66" s="59" customFormat="1" ht="12.75" x14ac:dyDescent="0.2">
      <c r="A25" s="64" t="s">
        <v>212</v>
      </c>
      <c r="B25" s="53">
        <v>270.35000000000002</v>
      </c>
      <c r="C25" s="53">
        <v>684832.63</v>
      </c>
      <c r="D25" s="53">
        <v>819435.69</v>
      </c>
      <c r="E25" s="53">
        <v>393169.34</v>
      </c>
      <c r="F25" s="53">
        <v>1561406.25</v>
      </c>
      <c r="G25" s="53">
        <v>1874693.75</v>
      </c>
      <c r="H25" s="53">
        <v>9656596.3200000003</v>
      </c>
      <c r="I25" s="53">
        <v>226871.67</v>
      </c>
      <c r="J25" s="53">
        <v>9380.3700000000008</v>
      </c>
      <c r="K25" s="53">
        <v>908134.56</v>
      </c>
      <c r="L25" s="53">
        <v>1659590.13</v>
      </c>
      <c r="M25" s="53">
        <v>1853340</v>
      </c>
      <c r="N25" s="53">
        <v>218.49</v>
      </c>
      <c r="O25" s="53">
        <v>30370.41</v>
      </c>
      <c r="P25" s="53">
        <v>54452.83</v>
      </c>
      <c r="Q25" s="53">
        <v>95728.09</v>
      </c>
      <c r="R25" s="53">
        <v>114376.84</v>
      </c>
      <c r="S25" s="53">
        <v>109535.92</v>
      </c>
      <c r="T25" s="53">
        <v>56048.38</v>
      </c>
      <c r="U25" s="53">
        <v>62779.73</v>
      </c>
      <c r="V25" s="53">
        <v>37.43</v>
      </c>
      <c r="W25" s="53">
        <v>37.31</v>
      </c>
      <c r="X25" s="53">
        <v>151.19999999999999</v>
      </c>
      <c r="Y25" s="53">
        <v>155.37</v>
      </c>
      <c r="Z25" s="53">
        <v>84.6</v>
      </c>
      <c r="AA25" s="53">
        <v>89.28</v>
      </c>
      <c r="AB25" s="53">
        <v>359.61</v>
      </c>
      <c r="AC25" s="53">
        <v>-0.11</v>
      </c>
      <c r="AD25" s="53">
        <v>346.62</v>
      </c>
      <c r="AE25" s="53">
        <v>-0.88</v>
      </c>
      <c r="AF25" s="53">
        <v>63.29</v>
      </c>
      <c r="AG25" s="53">
        <v>-0.12</v>
      </c>
      <c r="AH25" s="53">
        <v>98.89</v>
      </c>
      <c r="AI25" s="53">
        <v>95.57</v>
      </c>
      <c r="AJ25" s="53">
        <v>102.97</v>
      </c>
      <c r="AK25" s="53">
        <v>48.21</v>
      </c>
      <c r="AL25" s="53">
        <v>43.49</v>
      </c>
      <c r="AM25" s="53">
        <v>42.01</v>
      </c>
      <c r="AN25" s="53">
        <v>41.33</v>
      </c>
      <c r="AO25" s="53">
        <v>37.85</v>
      </c>
      <c r="AP25" s="53">
        <v>9330.4500000000007</v>
      </c>
      <c r="AQ25" s="53">
        <v>6.71</v>
      </c>
      <c r="AR25" s="53">
        <v>6.71</v>
      </c>
      <c r="AS25" s="53">
        <v>6.68</v>
      </c>
      <c r="AT25" s="53">
        <v>6.72</v>
      </c>
      <c r="AU25" s="53">
        <v>1801.19</v>
      </c>
      <c r="AV25" s="53">
        <v>2189.02</v>
      </c>
      <c r="AW25" s="53">
        <v>593.82000000000005</v>
      </c>
      <c r="AX25" s="53">
        <v>423.88</v>
      </c>
      <c r="AY25" s="53">
        <v>1767.43</v>
      </c>
      <c r="AZ25" s="53">
        <v>1401.08</v>
      </c>
      <c r="BA25" s="53">
        <v>2806.27</v>
      </c>
      <c r="BB25" s="53">
        <v>2750.36</v>
      </c>
      <c r="BC25" s="53">
        <v>2395.4</v>
      </c>
      <c r="BD25" s="53">
        <v>2946.87</v>
      </c>
      <c r="BE25" s="53">
        <v>2863.26</v>
      </c>
      <c r="BF25" s="53">
        <v>2976.4</v>
      </c>
      <c r="BG25" s="53">
        <v>2848.38</v>
      </c>
      <c r="BH25" s="53">
        <v>1757.78</v>
      </c>
      <c r="BI25" s="53">
        <v>2346.4299999999998</v>
      </c>
      <c r="BJ25" s="53">
        <v>2795.85</v>
      </c>
      <c r="BK25" s="53">
        <v>2784.29</v>
      </c>
      <c r="BL25" s="53">
        <v>1815.45</v>
      </c>
      <c r="BM25" s="53">
        <v>2878.51</v>
      </c>
      <c r="BN25" s="53">
        <v>2837.63</v>
      </c>
    </row>
    <row r="26" spans="1:66" s="59" customFormat="1" ht="12.75" x14ac:dyDescent="0.2">
      <c r="A26" s="64" t="s">
        <v>213</v>
      </c>
      <c r="B26" s="53">
        <v>266.17</v>
      </c>
      <c r="C26" s="53">
        <v>684868.88</v>
      </c>
      <c r="D26" s="53">
        <v>819435.69</v>
      </c>
      <c r="E26" s="53">
        <v>393205.44</v>
      </c>
      <c r="F26" s="53">
        <v>1561462.38</v>
      </c>
      <c r="G26" s="53">
        <v>1874752.38</v>
      </c>
      <c r="H26" s="53">
        <v>9656662.25</v>
      </c>
      <c r="I26" s="53">
        <v>226871.67</v>
      </c>
      <c r="J26" s="53">
        <v>9381.07</v>
      </c>
      <c r="K26" s="53">
        <v>908166.81</v>
      </c>
      <c r="L26" s="53">
        <v>1659643.25</v>
      </c>
      <c r="M26" s="53">
        <v>1853407.63</v>
      </c>
      <c r="N26" s="53">
        <v>218.49</v>
      </c>
      <c r="O26" s="53">
        <v>30370.41</v>
      </c>
      <c r="P26" s="53">
        <v>54455.38</v>
      </c>
      <c r="Q26" s="53">
        <v>95731.59</v>
      </c>
      <c r="R26" s="53">
        <v>114380.31</v>
      </c>
      <c r="S26" s="53">
        <v>109539.3</v>
      </c>
      <c r="T26" s="53">
        <v>56050.63</v>
      </c>
      <c r="U26" s="53">
        <v>62779.94</v>
      </c>
      <c r="V26" s="53">
        <v>37.31</v>
      </c>
      <c r="W26" s="53">
        <v>37.270000000000003</v>
      </c>
      <c r="X26" s="53">
        <v>151.12</v>
      </c>
      <c r="Y26" s="53">
        <v>155.04</v>
      </c>
      <c r="Z26" s="53">
        <v>84.72</v>
      </c>
      <c r="AA26" s="53">
        <v>89.43</v>
      </c>
      <c r="AB26" s="53">
        <v>358.45</v>
      </c>
      <c r="AC26" s="53">
        <v>-0.11</v>
      </c>
      <c r="AD26" s="53">
        <v>345.76</v>
      </c>
      <c r="AE26" s="53">
        <v>-0.88</v>
      </c>
      <c r="AF26" s="53">
        <v>63.41</v>
      </c>
      <c r="AG26" s="53">
        <v>-0.12</v>
      </c>
      <c r="AH26" s="53">
        <v>99.08</v>
      </c>
      <c r="AI26" s="53">
        <v>95.77</v>
      </c>
      <c r="AJ26" s="53">
        <v>103.2</v>
      </c>
      <c r="AK26" s="53">
        <v>48.06</v>
      </c>
      <c r="AL26" s="53">
        <v>43.45</v>
      </c>
      <c r="AM26" s="53">
        <v>42.07</v>
      </c>
      <c r="AN26" s="53">
        <v>41.3</v>
      </c>
      <c r="AO26" s="53">
        <v>37.68</v>
      </c>
      <c r="AP26" s="53">
        <v>9277.93</v>
      </c>
      <c r="AQ26" s="53">
        <v>6.71</v>
      </c>
      <c r="AR26" s="53">
        <v>6.71</v>
      </c>
      <c r="AS26" s="53">
        <v>6.68</v>
      </c>
      <c r="AT26" s="53">
        <v>6.72</v>
      </c>
      <c r="AU26" s="53">
        <v>1801.27</v>
      </c>
      <c r="AV26" s="53">
        <v>2189.02</v>
      </c>
      <c r="AW26" s="53">
        <v>593.9</v>
      </c>
      <c r="AX26" s="53">
        <v>423.88</v>
      </c>
      <c r="AY26" s="53">
        <v>1767.51</v>
      </c>
      <c r="AZ26" s="53">
        <v>1401.08</v>
      </c>
      <c r="BA26" s="53">
        <v>2806.35</v>
      </c>
      <c r="BB26" s="53">
        <v>2750.44</v>
      </c>
      <c r="BC26" s="53">
        <v>2395.48</v>
      </c>
      <c r="BD26" s="53">
        <v>2946.95</v>
      </c>
      <c r="BE26" s="53">
        <v>2863.34</v>
      </c>
      <c r="BF26" s="53">
        <v>2976.48</v>
      </c>
      <c r="BG26" s="53">
        <v>2848.46</v>
      </c>
      <c r="BH26" s="53">
        <v>1757.86</v>
      </c>
      <c r="BI26" s="53">
        <v>2346.5100000000002</v>
      </c>
      <c r="BJ26" s="53">
        <v>2795.93</v>
      </c>
      <c r="BK26" s="53">
        <v>2784.37</v>
      </c>
      <c r="BL26" s="53">
        <v>1815.52</v>
      </c>
      <c r="BM26" s="53">
        <v>2878.59</v>
      </c>
      <c r="BN26" s="53">
        <v>2837.7</v>
      </c>
    </row>
    <row r="27" spans="1:66" x14ac:dyDescent="0.3">
      <c r="AU27" s="5">
        <f>AU26-AU2</f>
        <v>2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9525</xdr:rowOff>
              </from>
              <to>
                <xdr:col>0</xdr:col>
                <xdr:colOff>1638300</xdr:colOff>
                <xdr:row>0</xdr:row>
                <xdr:rowOff>609600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U11"/>
  <sheetViews>
    <sheetView zoomScale="110" zoomScaleNormal="110" workbookViewId="0">
      <selection activeCell="A2" sqref="A2:A9"/>
    </sheetView>
  </sheetViews>
  <sheetFormatPr defaultColWidth="11.140625" defaultRowHeight="12.75" x14ac:dyDescent="0.25"/>
  <cols>
    <col min="1" max="1" width="33.85546875" style="3" bestFit="1" customWidth="1"/>
    <col min="2" max="2" width="11.140625" style="12"/>
    <col min="3" max="16384" width="11.140625" style="3"/>
  </cols>
  <sheetData>
    <row r="1" spans="1:21" s="2" customFormat="1" ht="49.5" customHeight="1" x14ac:dyDescent="0.2">
      <c r="A1" s="44" t="s">
        <v>69</v>
      </c>
      <c r="B1" s="52" t="s">
        <v>66</v>
      </c>
      <c r="C1" s="52" t="s">
        <v>67</v>
      </c>
      <c r="D1" s="44" t="s">
        <v>81</v>
      </c>
      <c r="E1" s="44" t="s">
        <v>82</v>
      </c>
      <c r="F1" s="44" t="s">
        <v>79</v>
      </c>
      <c r="G1" s="44" t="s">
        <v>80</v>
      </c>
      <c r="H1" s="44" t="s">
        <v>76</v>
      </c>
      <c r="I1" s="44" t="s">
        <v>77</v>
      </c>
      <c r="J1" s="44" t="s">
        <v>78</v>
      </c>
      <c r="K1" s="44" t="s">
        <v>90</v>
      </c>
      <c r="L1" s="44" t="s">
        <v>91</v>
      </c>
      <c r="M1" s="44" t="s">
        <v>88</v>
      </c>
      <c r="N1" s="44" t="s">
        <v>89</v>
      </c>
      <c r="O1" s="52" t="s">
        <v>83</v>
      </c>
      <c r="P1" s="52" t="s">
        <v>84</v>
      </c>
      <c r="Q1" s="52" t="s">
        <v>85</v>
      </c>
      <c r="R1" s="52" t="s">
        <v>86</v>
      </c>
      <c r="S1" s="52" t="s">
        <v>87</v>
      </c>
      <c r="T1" s="44" t="s">
        <v>92</v>
      </c>
      <c r="U1" s="44" t="s">
        <v>93</v>
      </c>
    </row>
    <row r="2" spans="1:21" ht="15" x14ac:dyDescent="0.25">
      <c r="A2" s="50" t="s">
        <v>75</v>
      </c>
      <c r="B2" s="47">
        <v>272.16840000000002</v>
      </c>
      <c r="C2" s="47">
        <v>272.16840000000002</v>
      </c>
      <c r="D2" s="47">
        <v>272.16840000000002</v>
      </c>
      <c r="E2" s="47">
        <v>272.16840000000002</v>
      </c>
      <c r="F2" s="47">
        <v>272.16840000000002</v>
      </c>
      <c r="G2" s="47">
        <v>272.16840000000002</v>
      </c>
      <c r="H2" s="47">
        <v>272.16840000000002</v>
      </c>
      <c r="I2" s="47">
        <v>272.16840000000002</v>
      </c>
      <c r="J2" s="47">
        <v>272.16840000000002</v>
      </c>
      <c r="K2" s="47">
        <v>272.16840000000002</v>
      </c>
      <c r="L2" s="47">
        <v>272.16840000000002</v>
      </c>
      <c r="M2" s="47">
        <v>272.16840000000002</v>
      </c>
      <c r="N2" s="47">
        <v>272.16840000000002</v>
      </c>
      <c r="O2" s="47">
        <v>272.16840000000002</v>
      </c>
      <c r="P2" s="47">
        <v>272.16840000000002</v>
      </c>
      <c r="Q2" s="47">
        <v>272.16840000000002</v>
      </c>
      <c r="R2" s="47">
        <v>272.16840000000002</v>
      </c>
      <c r="S2" s="47">
        <v>272.16840000000002</v>
      </c>
      <c r="T2" s="47">
        <v>272.16840000000002</v>
      </c>
      <c r="U2" s="47">
        <v>272.16840000000002</v>
      </c>
    </row>
    <row r="3" spans="1:21" ht="15" x14ac:dyDescent="0.25">
      <c r="A3" s="50" t="s">
        <v>221</v>
      </c>
      <c r="B3" s="47">
        <v>876.13000000000466</v>
      </c>
      <c r="C3" s="47">
        <v>0</v>
      </c>
      <c r="D3" s="47">
        <v>869.55999999999767</v>
      </c>
      <c r="E3" s="47">
        <v>869.55999999999767</v>
      </c>
      <c r="F3" s="47">
        <v>702.93999999994412</v>
      </c>
      <c r="G3" s="48">
        <v>702.93999999994412</v>
      </c>
      <c r="H3" s="47">
        <v>449.12666666662943</v>
      </c>
      <c r="I3" s="48">
        <v>449.12666666662943</v>
      </c>
      <c r="J3" s="48">
        <v>449.12666666662943</v>
      </c>
      <c r="K3" s="47">
        <v>658.93500000005588</v>
      </c>
      <c r="L3" s="47">
        <v>658.93500000005588</v>
      </c>
      <c r="M3" s="48"/>
      <c r="N3" s="48"/>
      <c r="O3" s="47">
        <v>67.839999999996508</v>
      </c>
      <c r="P3" s="47">
        <v>84.009999999994761</v>
      </c>
      <c r="Q3" s="47">
        <v>81.30000000000291</v>
      </c>
      <c r="R3" s="47">
        <v>82.100000000005821</v>
      </c>
      <c r="S3" s="47">
        <v>58.879999999997381</v>
      </c>
      <c r="T3" s="47">
        <v>390.875</v>
      </c>
      <c r="U3" s="48">
        <v>390.875</v>
      </c>
    </row>
    <row r="4" spans="1:21" ht="15" x14ac:dyDescent="0.25">
      <c r="A4" s="50" t="s">
        <v>70</v>
      </c>
      <c r="B4" s="47">
        <v>6.716400000000001</v>
      </c>
      <c r="C4" s="47">
        <v>6.716400000000001</v>
      </c>
      <c r="D4" s="47">
        <v>6.716400000000001</v>
      </c>
      <c r="E4" s="47">
        <v>6.716400000000001</v>
      </c>
      <c r="F4" s="47">
        <v>6.716400000000001</v>
      </c>
      <c r="G4" s="47">
        <v>6.716400000000001</v>
      </c>
      <c r="H4" s="47">
        <v>6.716400000000001</v>
      </c>
      <c r="I4" s="47">
        <v>6.716400000000001</v>
      </c>
      <c r="J4" s="47">
        <v>6.716400000000001</v>
      </c>
      <c r="K4" s="47">
        <v>6.716400000000001</v>
      </c>
      <c r="L4" s="47">
        <v>6.716400000000001</v>
      </c>
      <c r="M4" s="47">
        <v>6.716400000000001</v>
      </c>
      <c r="N4" s="47">
        <v>6.716400000000001</v>
      </c>
      <c r="O4" s="47">
        <v>6.716400000000001</v>
      </c>
      <c r="P4" s="47">
        <v>6.716400000000001</v>
      </c>
      <c r="Q4" s="47">
        <v>6.716400000000001</v>
      </c>
      <c r="R4" s="47">
        <v>6.716400000000001</v>
      </c>
      <c r="S4" s="47">
        <v>6.716400000000001</v>
      </c>
      <c r="T4" s="47">
        <v>6.716400000000001</v>
      </c>
      <c r="U4" s="47">
        <v>6.716400000000001</v>
      </c>
    </row>
    <row r="5" spans="1:21" ht="15" x14ac:dyDescent="0.25">
      <c r="A5" s="50" t="s">
        <v>71</v>
      </c>
      <c r="B5" s="47">
        <v>362.90559999999999</v>
      </c>
      <c r="C5" s="47">
        <v>0</v>
      </c>
      <c r="D5" s="47">
        <v>349.93400000000003</v>
      </c>
      <c r="E5" s="47">
        <v>0</v>
      </c>
      <c r="F5" s="47">
        <v>63.55080000000001</v>
      </c>
      <c r="G5" s="47">
        <v>0</v>
      </c>
      <c r="H5" s="47">
        <v>99.274799999999971</v>
      </c>
      <c r="I5" s="47">
        <v>95.923600000000008</v>
      </c>
      <c r="J5" s="47">
        <v>103.22199999999999</v>
      </c>
      <c r="K5" s="47">
        <v>38.2928</v>
      </c>
      <c r="L5" s="47">
        <v>38.630800000000001</v>
      </c>
      <c r="M5" s="47">
        <v>155.50959999999998</v>
      </c>
      <c r="N5" s="47">
        <v>159.89440000000002</v>
      </c>
      <c r="O5" s="47">
        <v>49.007200000000005</v>
      </c>
      <c r="P5" s="47">
        <v>42.764400000000002</v>
      </c>
      <c r="Q5" s="47">
        <v>41.210399999999993</v>
      </c>
      <c r="R5" s="47">
        <v>41.126000000000005</v>
      </c>
      <c r="S5" s="47">
        <v>38.797199999999997</v>
      </c>
      <c r="T5" s="47">
        <v>85.194400000000002</v>
      </c>
      <c r="U5" s="47">
        <v>90.460399999999993</v>
      </c>
    </row>
    <row r="6" spans="1:21" ht="15" x14ac:dyDescent="0.25">
      <c r="A6" s="50" t="s">
        <v>72</v>
      </c>
      <c r="B6" s="47">
        <v>0.85</v>
      </c>
      <c r="C6" s="47">
        <v>0.85</v>
      </c>
      <c r="D6" s="47">
        <v>0.85</v>
      </c>
      <c r="E6" s="47">
        <v>0.85</v>
      </c>
      <c r="F6" s="47">
        <v>0.85</v>
      </c>
      <c r="G6" s="47">
        <v>0.85</v>
      </c>
      <c r="H6" s="47">
        <v>0.85</v>
      </c>
      <c r="I6" s="47">
        <v>0.85</v>
      </c>
      <c r="J6" s="47">
        <v>0.85</v>
      </c>
      <c r="K6" s="47">
        <v>0.85</v>
      </c>
      <c r="L6" s="47">
        <v>0.85</v>
      </c>
      <c r="M6" s="47">
        <v>0.85</v>
      </c>
      <c r="N6" s="47">
        <v>0.85</v>
      </c>
      <c r="O6" s="47">
        <v>0.85</v>
      </c>
      <c r="P6" s="47">
        <v>0.85</v>
      </c>
      <c r="Q6" s="47">
        <v>0.85</v>
      </c>
      <c r="R6" s="47">
        <v>0.85</v>
      </c>
      <c r="S6" s="47">
        <v>0.85</v>
      </c>
      <c r="T6" s="47">
        <v>0.85</v>
      </c>
      <c r="U6" s="47">
        <v>0.85</v>
      </c>
    </row>
    <row r="7" spans="1:21" ht="15" x14ac:dyDescent="0.25">
      <c r="A7" s="50" t="s">
        <v>74</v>
      </c>
      <c r="B7" s="49">
        <v>2</v>
      </c>
      <c r="C7" s="49">
        <v>0</v>
      </c>
      <c r="D7" s="49">
        <v>2</v>
      </c>
      <c r="E7" s="49">
        <v>0</v>
      </c>
      <c r="F7" s="49">
        <v>2</v>
      </c>
      <c r="G7" s="49">
        <v>0</v>
      </c>
      <c r="H7" s="49">
        <v>2</v>
      </c>
      <c r="I7" s="49">
        <v>2</v>
      </c>
      <c r="J7" s="49">
        <v>2</v>
      </c>
      <c r="K7" s="49">
        <v>2</v>
      </c>
      <c r="L7" s="49">
        <v>2</v>
      </c>
      <c r="M7" s="49">
        <v>2</v>
      </c>
      <c r="N7" s="49">
        <v>2</v>
      </c>
      <c r="O7" s="49">
        <v>2</v>
      </c>
      <c r="P7" s="49">
        <v>2</v>
      </c>
      <c r="Q7" s="49">
        <v>2</v>
      </c>
      <c r="R7" s="49">
        <v>2</v>
      </c>
      <c r="S7" s="49">
        <v>1.9900000000000091</v>
      </c>
      <c r="T7" s="49">
        <v>2</v>
      </c>
      <c r="U7" s="49">
        <v>1.9899999999997817</v>
      </c>
    </row>
    <row r="8" spans="1:21" ht="15" x14ac:dyDescent="0.25">
      <c r="A8" s="50" t="s">
        <v>73</v>
      </c>
      <c r="B8" s="47">
        <v>7176.737009565697</v>
      </c>
      <c r="C8" s="47">
        <v>0</v>
      </c>
      <c r="D8" s="47">
        <v>6920.2136553014416</v>
      </c>
      <c r="E8" s="47">
        <v>0</v>
      </c>
      <c r="F8" s="47">
        <v>1256.7658871825283</v>
      </c>
      <c r="G8" s="47">
        <v>0</v>
      </c>
      <c r="H8" s="47">
        <v>1963.2354289303676</v>
      </c>
      <c r="I8" s="47">
        <v>1896.9628746725766</v>
      </c>
      <c r="J8" s="47">
        <v>2041.2943410115201</v>
      </c>
      <c r="K8" s="47">
        <v>757.26953499724812</v>
      </c>
      <c r="L8" s="47">
        <v>763.95374463532823</v>
      </c>
      <c r="M8" s="47">
        <v>3075.3217962543358</v>
      </c>
      <c r="N8" s="47">
        <v>3162.034584482305</v>
      </c>
      <c r="O8" s="47">
        <v>969.15502537075224</v>
      </c>
      <c r="P8" s="47">
        <v>845.69885990150419</v>
      </c>
      <c r="Q8" s="47">
        <v>814.96731618086403</v>
      </c>
      <c r="R8" s="47">
        <v>813.29824134816022</v>
      </c>
      <c r="S8" s="47">
        <v>763.40821029486983</v>
      </c>
      <c r="T8" s="47">
        <v>1684.7847029303043</v>
      </c>
      <c r="U8" s="47">
        <v>1779.9792785703648</v>
      </c>
    </row>
    <row r="9" spans="1:21" ht="30" x14ac:dyDescent="0.25">
      <c r="A9" s="72" t="s">
        <v>222</v>
      </c>
      <c r="B9" s="51">
        <v>8.1914065373468077</v>
      </c>
      <c r="C9" s="51" t="s">
        <v>96</v>
      </c>
      <c r="D9" s="51">
        <v>7.958293453357399</v>
      </c>
      <c r="E9" s="51">
        <v>0</v>
      </c>
      <c r="F9" s="51">
        <v>1.7878707815498167</v>
      </c>
      <c r="G9" s="51">
        <v>0</v>
      </c>
      <c r="H9" s="51">
        <v>4.3712288194804669</v>
      </c>
      <c r="I9" s="51">
        <v>4.2236701034735571</v>
      </c>
      <c r="J9" s="51">
        <v>4.5450303723040779</v>
      </c>
      <c r="K9" s="51">
        <v>1.1492325267244627</v>
      </c>
      <c r="L9" s="51">
        <v>1.1593764857463382</v>
      </c>
      <c r="M9" s="51" t="s">
        <v>96</v>
      </c>
      <c r="N9" s="51" t="s">
        <v>96</v>
      </c>
      <c r="O9" s="51">
        <v>14.285893652281871</v>
      </c>
      <c r="P9" s="51">
        <v>10.066645160118521</v>
      </c>
      <c r="Q9" s="51">
        <v>10.024198231006579</v>
      </c>
      <c r="R9" s="51">
        <v>9.9061905158112378</v>
      </c>
      <c r="S9" s="51">
        <v>12.965492702019425</v>
      </c>
      <c r="T9" s="51">
        <v>4.3102902537391863</v>
      </c>
      <c r="U9" s="51">
        <v>4.553832500339916</v>
      </c>
    </row>
    <row r="11" spans="1:21" x14ac:dyDescent="0.25">
      <c r="B11" s="3"/>
    </row>
  </sheetData>
  <pageMargins left="0.7" right="0.7" top="0.75" bottom="0.75" header="0.3" footer="0.3"/>
  <pageSetup paperSize="9" scale="56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9"/>
  <sheetViews>
    <sheetView topLeftCell="D19" workbookViewId="0">
      <selection activeCell="S9" sqref="S9"/>
    </sheetView>
  </sheetViews>
  <sheetFormatPr defaultRowHeight="12.75" x14ac:dyDescent="0.2"/>
  <cols>
    <col min="1" max="1" width="33.85546875" bestFit="1" customWidth="1"/>
    <col min="2" max="2" width="9.7109375" bestFit="1" customWidth="1"/>
    <col min="3" max="3" width="8.42578125" bestFit="1" customWidth="1"/>
    <col min="4" max="14" width="9.7109375" bestFit="1" customWidth="1"/>
    <col min="15" max="19" width="11" bestFit="1" customWidth="1"/>
    <col min="20" max="21" width="9.7109375" bestFit="1" customWidth="1"/>
  </cols>
  <sheetData>
    <row r="1" spans="1:21" s="2" customFormat="1" ht="49.5" customHeight="1" x14ac:dyDescent="0.2">
      <c r="A1" s="44" t="s">
        <v>217</v>
      </c>
      <c r="B1" s="52" t="s">
        <v>66</v>
      </c>
      <c r="C1" s="52" t="s">
        <v>67</v>
      </c>
      <c r="D1" s="44" t="s">
        <v>81</v>
      </c>
      <c r="E1" s="44" t="s">
        <v>82</v>
      </c>
      <c r="F1" s="44" t="s">
        <v>79</v>
      </c>
      <c r="G1" s="44" t="s">
        <v>80</v>
      </c>
      <c r="H1" s="44" t="s">
        <v>76</v>
      </c>
      <c r="I1" s="44" t="s">
        <v>77</v>
      </c>
      <c r="J1" s="44" t="s">
        <v>78</v>
      </c>
      <c r="K1" s="44" t="s">
        <v>90</v>
      </c>
      <c r="L1" s="44" t="s">
        <v>91</v>
      </c>
      <c r="M1" s="44" t="s">
        <v>88</v>
      </c>
      <c r="N1" s="44" t="s">
        <v>89</v>
      </c>
      <c r="O1" s="52" t="s">
        <v>83</v>
      </c>
      <c r="P1" s="52" t="s">
        <v>84</v>
      </c>
      <c r="Q1" s="52" t="s">
        <v>85</v>
      </c>
      <c r="R1" s="52" t="s">
        <v>86</v>
      </c>
      <c r="S1" s="52" t="s">
        <v>87</v>
      </c>
      <c r="T1" s="44" t="s">
        <v>92</v>
      </c>
      <c r="U1" s="44" t="s">
        <v>93</v>
      </c>
    </row>
    <row r="2" spans="1:21" s="3" customFormat="1" ht="15" x14ac:dyDescent="0.25">
      <c r="A2" s="50" t="s">
        <v>75</v>
      </c>
      <c r="B2" s="47">
        <v>271.53839999999997</v>
      </c>
      <c r="C2" s="47">
        <v>271.53839999999997</v>
      </c>
      <c r="D2" s="47">
        <v>271.53839999999997</v>
      </c>
      <c r="E2" s="47">
        <v>271.53839999999997</v>
      </c>
      <c r="F2" s="47">
        <v>271.53839999999997</v>
      </c>
      <c r="G2" s="47">
        <v>271.53839999999997</v>
      </c>
      <c r="H2" s="47">
        <v>271.53839999999997</v>
      </c>
      <c r="I2" s="47">
        <v>271.53839999999997</v>
      </c>
      <c r="J2" s="47">
        <v>271.53839999999997</v>
      </c>
      <c r="K2" s="47">
        <v>271.53839999999997</v>
      </c>
      <c r="L2" s="47">
        <v>271.53839999999997</v>
      </c>
      <c r="M2" s="47">
        <v>271.53839999999997</v>
      </c>
      <c r="N2" s="47">
        <v>271.53839999999997</v>
      </c>
      <c r="O2" s="47">
        <v>271.53839999999997</v>
      </c>
      <c r="P2" s="47">
        <v>271.53839999999997</v>
      </c>
      <c r="Q2" s="47">
        <v>271.53839999999997</v>
      </c>
      <c r="R2" s="47">
        <v>271.53839999999997</v>
      </c>
      <c r="S2" s="47">
        <v>271.53839999999997</v>
      </c>
      <c r="T2" s="47">
        <v>271.53839999999997</v>
      </c>
      <c r="U2" s="47">
        <v>271.53839999999997</v>
      </c>
    </row>
    <row r="3" spans="1:21" s="3" customFormat="1" ht="15" x14ac:dyDescent="0.25">
      <c r="A3" s="50" t="s">
        <v>221</v>
      </c>
      <c r="B3" s="47">
        <v>812.5</v>
      </c>
      <c r="C3" s="47">
        <v>0</v>
      </c>
      <c r="D3" s="47">
        <v>800.12000000011176</v>
      </c>
      <c r="E3" s="47">
        <v>800.12000000011176</v>
      </c>
      <c r="F3" s="47">
        <v>707.625</v>
      </c>
      <c r="G3" s="48">
        <v>707.625</v>
      </c>
      <c r="H3" s="47">
        <v>448.62333333337057</v>
      </c>
      <c r="I3" s="48">
        <v>448.62333333337057</v>
      </c>
      <c r="J3" s="48">
        <v>448.62333333337057</v>
      </c>
      <c r="K3" s="47">
        <v>673.125</v>
      </c>
      <c r="L3" s="47">
        <v>673.125</v>
      </c>
      <c r="M3" s="48"/>
      <c r="N3" s="48"/>
      <c r="O3" s="47">
        <v>7.2699999999895226</v>
      </c>
      <c r="P3" s="47">
        <v>80.78000000002794</v>
      </c>
      <c r="Q3" s="47">
        <v>80.28000000002794</v>
      </c>
      <c r="R3" s="47">
        <v>79.599999999976717</v>
      </c>
      <c r="S3" s="47">
        <v>63.379999999990105</v>
      </c>
      <c r="T3" s="47">
        <v>339.68999999994412</v>
      </c>
      <c r="U3" s="48">
        <v>339.68999999994412</v>
      </c>
    </row>
    <row r="4" spans="1:21" s="3" customFormat="1" ht="15" x14ac:dyDescent="0.25">
      <c r="A4" s="50" t="s">
        <v>70</v>
      </c>
      <c r="B4" s="47">
        <v>6.7423999999999999</v>
      </c>
      <c r="C4" s="47">
        <v>6.7423999999999999</v>
      </c>
      <c r="D4" s="47">
        <v>6.7423999999999999</v>
      </c>
      <c r="E4" s="47">
        <v>6.7423999999999999</v>
      </c>
      <c r="F4" s="47">
        <v>6.7423999999999999</v>
      </c>
      <c r="G4" s="47">
        <v>6.7423999999999999</v>
      </c>
      <c r="H4" s="47">
        <v>6.7423999999999999</v>
      </c>
      <c r="I4" s="47">
        <v>6.7423999999999999</v>
      </c>
      <c r="J4" s="47">
        <v>6.7423999999999999</v>
      </c>
      <c r="K4" s="47">
        <v>6.7423999999999999</v>
      </c>
      <c r="L4" s="47">
        <v>6.7423999999999999</v>
      </c>
      <c r="M4" s="47">
        <v>6.7423999999999999</v>
      </c>
      <c r="N4" s="47">
        <v>6.7423999999999999</v>
      </c>
      <c r="O4" s="47">
        <v>6.7423999999999999</v>
      </c>
      <c r="P4" s="47">
        <v>6.7423999999999999</v>
      </c>
      <c r="Q4" s="47">
        <v>6.7423999999999999</v>
      </c>
      <c r="R4" s="47">
        <v>6.7423999999999999</v>
      </c>
      <c r="S4" s="47">
        <v>6.7423999999999999</v>
      </c>
      <c r="T4" s="47">
        <v>6.7423999999999999</v>
      </c>
      <c r="U4" s="47">
        <v>6.7423999999999999</v>
      </c>
    </row>
    <row r="5" spans="1:21" s="3" customFormat="1" ht="15" x14ac:dyDescent="0.25">
      <c r="A5" s="50" t="s">
        <v>71</v>
      </c>
      <c r="B5" s="47">
        <v>335.02520000000004</v>
      </c>
      <c r="C5" s="47">
        <v>0</v>
      </c>
      <c r="D5" s="47">
        <v>0</v>
      </c>
      <c r="E5" s="47">
        <v>328.94120000000004</v>
      </c>
      <c r="F5" s="47">
        <v>0</v>
      </c>
      <c r="G5" s="47">
        <v>66.167599999999993</v>
      </c>
      <c r="H5" s="47">
        <v>100.61919999999996</v>
      </c>
      <c r="I5" s="47">
        <v>104.15599999999996</v>
      </c>
      <c r="J5" s="47">
        <v>103.24960000000003</v>
      </c>
      <c r="K5" s="47">
        <v>37.886799999999987</v>
      </c>
      <c r="L5" s="47">
        <v>38.425999999999974</v>
      </c>
      <c r="M5" s="47">
        <v>144.01399999999995</v>
      </c>
      <c r="N5" s="47">
        <v>142.78520000000003</v>
      </c>
      <c r="O5" s="47">
        <v>14.357600000000001</v>
      </c>
      <c r="P5" s="47">
        <v>42.518799999999999</v>
      </c>
      <c r="Q5" s="47">
        <v>41.882799999999996</v>
      </c>
      <c r="R5" s="47">
        <v>40.346799999999995</v>
      </c>
      <c r="S5" s="47">
        <v>39.939200000000007</v>
      </c>
      <c r="T5" s="47">
        <v>80.4572</v>
      </c>
      <c r="U5" s="47">
        <v>80.923999999999992</v>
      </c>
    </row>
    <row r="6" spans="1:21" s="3" customFormat="1" ht="15" x14ac:dyDescent="0.25">
      <c r="A6" s="50" t="s">
        <v>72</v>
      </c>
      <c r="B6" s="47">
        <v>0.85</v>
      </c>
      <c r="C6" s="47">
        <v>0.85</v>
      </c>
      <c r="D6" s="47">
        <v>0.85</v>
      </c>
      <c r="E6" s="47">
        <v>0.85</v>
      </c>
      <c r="F6" s="47">
        <v>0.85</v>
      </c>
      <c r="G6" s="47">
        <v>0.85</v>
      </c>
      <c r="H6" s="47">
        <v>0.85</v>
      </c>
      <c r="I6" s="47">
        <v>0.85</v>
      </c>
      <c r="J6" s="47">
        <v>0.85</v>
      </c>
      <c r="K6" s="47">
        <v>0.85</v>
      </c>
      <c r="L6" s="47">
        <v>0.85</v>
      </c>
      <c r="M6" s="47">
        <v>0.85</v>
      </c>
      <c r="N6" s="47">
        <v>0.85</v>
      </c>
      <c r="O6" s="47">
        <v>0.85</v>
      </c>
      <c r="P6" s="47">
        <v>0.85</v>
      </c>
      <c r="Q6" s="47">
        <v>0.85</v>
      </c>
      <c r="R6" s="47">
        <v>0.85</v>
      </c>
      <c r="S6" s="47">
        <v>0.85</v>
      </c>
      <c r="T6" s="47">
        <v>0.85</v>
      </c>
      <c r="U6" s="47">
        <v>0.85</v>
      </c>
    </row>
    <row r="7" spans="1:21" s="3" customFormat="1" ht="15" x14ac:dyDescent="0.25">
      <c r="A7" s="50" t="s">
        <v>74</v>
      </c>
      <c r="B7" s="49">
        <v>2</v>
      </c>
      <c r="C7" s="49">
        <v>0</v>
      </c>
      <c r="D7" s="49">
        <v>0</v>
      </c>
      <c r="E7" s="49">
        <v>2</v>
      </c>
      <c r="F7" s="49">
        <v>0</v>
      </c>
      <c r="G7" s="49">
        <v>2</v>
      </c>
      <c r="H7" s="49">
        <v>2</v>
      </c>
      <c r="I7" s="49">
        <v>2</v>
      </c>
      <c r="J7" s="49">
        <v>2</v>
      </c>
      <c r="K7" s="49">
        <v>2</v>
      </c>
      <c r="L7" s="49">
        <v>2</v>
      </c>
      <c r="M7" s="49">
        <v>2</v>
      </c>
      <c r="N7" s="49">
        <v>2</v>
      </c>
      <c r="O7" s="49">
        <v>0.92000000000007276</v>
      </c>
      <c r="P7" s="49">
        <v>2</v>
      </c>
      <c r="Q7" s="49">
        <v>2</v>
      </c>
      <c r="R7" s="49">
        <v>2</v>
      </c>
      <c r="S7" s="49">
        <v>2</v>
      </c>
      <c r="T7" s="49">
        <v>2</v>
      </c>
      <c r="U7" s="49">
        <v>2</v>
      </c>
    </row>
    <row r="8" spans="1:21" s="3" customFormat="1" ht="15" x14ac:dyDescent="0.25">
      <c r="A8" s="50" t="s">
        <v>73</v>
      </c>
      <c r="B8" s="47">
        <v>6651.0283361285128</v>
      </c>
      <c r="C8" s="47">
        <v>0</v>
      </c>
      <c r="D8" s="47">
        <v>0</v>
      </c>
      <c r="E8" s="47">
        <v>6530.2468056734724</v>
      </c>
      <c r="F8" s="47">
        <v>0</v>
      </c>
      <c r="G8" s="47">
        <v>1313.5805382210558</v>
      </c>
      <c r="H8" s="47">
        <v>1997.5248141291511</v>
      </c>
      <c r="I8" s="47">
        <v>2067.7385085593592</v>
      </c>
      <c r="J8" s="47">
        <v>2049.7443633909766</v>
      </c>
      <c r="K8" s="47">
        <v>752.14097436620773</v>
      </c>
      <c r="L8" s="47">
        <v>762.84534669055938</v>
      </c>
      <c r="M8" s="47">
        <v>2859.0123811558392</v>
      </c>
      <c r="N8" s="47">
        <v>2834.6178471941125</v>
      </c>
      <c r="O8" s="47">
        <v>131.11458493824014</v>
      </c>
      <c r="P8" s="47">
        <v>844.09693246412792</v>
      </c>
      <c r="Q8" s="47">
        <v>831.47085531596781</v>
      </c>
      <c r="R8" s="47">
        <v>800.97768786380789</v>
      </c>
      <c r="S8" s="47">
        <v>792.88588118835207</v>
      </c>
      <c r="T8" s="47">
        <v>1597.2622866744318</v>
      </c>
      <c r="U8" s="47">
        <v>1606.5293508454399</v>
      </c>
    </row>
    <row r="9" spans="1:21" s="3" customFormat="1" ht="30" x14ac:dyDescent="0.25">
      <c r="A9" s="72" t="s">
        <v>222</v>
      </c>
      <c r="B9" s="51">
        <v>8.185881029081246</v>
      </c>
      <c r="C9" s="51" t="s">
        <v>96</v>
      </c>
      <c r="D9" s="51">
        <v>0</v>
      </c>
      <c r="E9" s="51">
        <v>8.161584269450282</v>
      </c>
      <c r="F9" s="51">
        <v>0</v>
      </c>
      <c r="G9" s="51">
        <v>1.8563229651595914</v>
      </c>
      <c r="H9" s="51">
        <v>4.4525655838877123</v>
      </c>
      <c r="I9" s="51">
        <v>4.6090748182793009</v>
      </c>
      <c r="J9" s="51">
        <v>4.568965123059745</v>
      </c>
      <c r="K9" s="51">
        <v>1.1173867771457124</v>
      </c>
      <c r="L9" s="51">
        <v>1.1332892801345358</v>
      </c>
      <c r="M9" s="51" t="s">
        <v>96</v>
      </c>
      <c r="N9" s="51" t="s">
        <v>96</v>
      </c>
      <c r="O9" s="51">
        <v>18.035018560994374</v>
      </c>
      <c r="P9" s="51">
        <v>10.449330681651844</v>
      </c>
      <c r="Q9" s="51">
        <v>10.357135716438446</v>
      </c>
      <c r="R9" s="51">
        <v>10.062533767136209</v>
      </c>
      <c r="S9" s="51">
        <v>12.510032836675226</v>
      </c>
      <c r="T9" s="51">
        <v>4.7021174796864633</v>
      </c>
      <c r="U9" s="51">
        <v>4.7293984245803653</v>
      </c>
    </row>
    <row r="11" spans="1:21" s="2" customFormat="1" ht="49.5" customHeight="1" x14ac:dyDescent="0.2">
      <c r="A11" s="44" t="s">
        <v>218</v>
      </c>
      <c r="B11" s="52" t="s">
        <v>66</v>
      </c>
      <c r="C11" s="52" t="s">
        <v>67</v>
      </c>
      <c r="D11" s="44" t="s">
        <v>81</v>
      </c>
      <c r="E11" s="44" t="s">
        <v>82</v>
      </c>
      <c r="F11" s="44" t="s">
        <v>79</v>
      </c>
      <c r="G11" s="44" t="s">
        <v>80</v>
      </c>
      <c r="H11" s="44" t="s">
        <v>76</v>
      </c>
      <c r="I11" s="44" t="s">
        <v>77</v>
      </c>
      <c r="J11" s="44" t="s">
        <v>78</v>
      </c>
      <c r="K11" s="44" t="s">
        <v>90</v>
      </c>
      <c r="L11" s="44" t="s">
        <v>91</v>
      </c>
      <c r="M11" s="44" t="s">
        <v>88</v>
      </c>
      <c r="N11" s="44" t="s">
        <v>89</v>
      </c>
      <c r="O11" s="52" t="s">
        <v>83</v>
      </c>
      <c r="P11" s="52" t="s">
        <v>84</v>
      </c>
      <c r="Q11" s="52" t="s">
        <v>85</v>
      </c>
      <c r="R11" s="52" t="s">
        <v>86</v>
      </c>
      <c r="S11" s="52" t="s">
        <v>87</v>
      </c>
      <c r="T11" s="44" t="s">
        <v>92</v>
      </c>
      <c r="U11" s="44" t="s">
        <v>93</v>
      </c>
    </row>
    <row r="12" spans="1:21" s="3" customFormat="1" ht="15" x14ac:dyDescent="0.25">
      <c r="A12" s="50" t="s">
        <v>75</v>
      </c>
      <c r="B12" s="47">
        <v>271.39519999999999</v>
      </c>
      <c r="C12" s="47">
        <v>271.39519999999999</v>
      </c>
      <c r="D12" s="47">
        <v>271.39519999999999</v>
      </c>
      <c r="E12" s="47">
        <v>271.39519999999999</v>
      </c>
      <c r="F12" s="47">
        <v>271.39519999999999</v>
      </c>
      <c r="G12" s="47">
        <v>271.39519999999999</v>
      </c>
      <c r="H12" s="47">
        <v>271.39519999999999</v>
      </c>
      <c r="I12" s="47">
        <v>271.39519999999999</v>
      </c>
      <c r="J12" s="47">
        <v>271.39519999999999</v>
      </c>
      <c r="K12" s="47">
        <v>271.39519999999999</v>
      </c>
      <c r="L12" s="47">
        <v>271.39519999999999</v>
      </c>
      <c r="M12" s="47">
        <v>271.39519999999999</v>
      </c>
      <c r="N12" s="47">
        <v>271.39519999999999</v>
      </c>
      <c r="O12" s="47">
        <v>271.39519999999999</v>
      </c>
      <c r="P12" s="47">
        <v>271.39519999999999</v>
      </c>
      <c r="Q12" s="47">
        <v>271.39519999999999</v>
      </c>
      <c r="R12" s="47">
        <v>271.39519999999999</v>
      </c>
      <c r="S12" s="47">
        <v>271.39519999999999</v>
      </c>
      <c r="T12" s="47">
        <v>271.39519999999999</v>
      </c>
      <c r="U12" s="47">
        <v>271.39519999999999</v>
      </c>
    </row>
    <row r="13" spans="1:21" s="3" customFormat="1" ht="15" x14ac:dyDescent="0.25">
      <c r="A13" s="50" t="s">
        <v>221</v>
      </c>
      <c r="B13" s="47">
        <v>825.75</v>
      </c>
      <c r="C13" s="47">
        <v>0</v>
      </c>
      <c r="D13" s="47">
        <v>826.25</v>
      </c>
      <c r="E13" s="47">
        <v>826.25</v>
      </c>
      <c r="F13" s="47">
        <v>722.125</v>
      </c>
      <c r="G13" s="48">
        <v>722.125</v>
      </c>
      <c r="H13" s="47">
        <v>458.70666666670394</v>
      </c>
      <c r="I13" s="48">
        <v>458.70666666670394</v>
      </c>
      <c r="J13" s="48">
        <v>458.70666666670394</v>
      </c>
      <c r="K13" s="47">
        <v>674.81499999994412</v>
      </c>
      <c r="L13" s="47">
        <v>674.81499999994412</v>
      </c>
      <c r="M13" s="48"/>
      <c r="N13" s="48"/>
      <c r="O13" s="47">
        <v>70.659999999974389</v>
      </c>
      <c r="P13" s="47">
        <v>76.470000000030268</v>
      </c>
      <c r="Q13" s="47">
        <v>78.680000000051223</v>
      </c>
      <c r="R13" s="47">
        <v>77.059999999997672</v>
      </c>
      <c r="S13" s="47">
        <v>45.119999999995343</v>
      </c>
      <c r="T13" s="47">
        <v>385.43500000005588</v>
      </c>
      <c r="U13" s="48">
        <v>385.43500000005588</v>
      </c>
    </row>
    <row r="14" spans="1:21" s="3" customFormat="1" ht="15" x14ac:dyDescent="0.25">
      <c r="A14" s="50" t="s">
        <v>70</v>
      </c>
      <c r="B14" s="47">
        <v>6.7083999999999993</v>
      </c>
      <c r="C14" s="47">
        <v>6.7083999999999993</v>
      </c>
      <c r="D14" s="47">
        <v>6.7083999999999993</v>
      </c>
      <c r="E14" s="47">
        <v>6.7083999999999993</v>
      </c>
      <c r="F14" s="47">
        <v>6.7083999999999993</v>
      </c>
      <c r="G14" s="47">
        <v>6.7083999999999993</v>
      </c>
      <c r="H14" s="47">
        <v>6.7083999999999993</v>
      </c>
      <c r="I14" s="47">
        <v>6.7083999999999993</v>
      </c>
      <c r="J14" s="47">
        <v>6.7083999999999993</v>
      </c>
      <c r="K14" s="47">
        <v>6.7083999999999993</v>
      </c>
      <c r="L14" s="47">
        <v>6.7083999999999993</v>
      </c>
      <c r="M14" s="47">
        <v>6.7083999999999993</v>
      </c>
      <c r="N14" s="47">
        <v>6.7083999999999993</v>
      </c>
      <c r="O14" s="47">
        <v>6.7083999999999993</v>
      </c>
      <c r="P14" s="47">
        <v>6.7083999999999993</v>
      </c>
      <c r="Q14" s="47">
        <v>6.7083999999999993</v>
      </c>
      <c r="R14" s="47">
        <v>6.7083999999999993</v>
      </c>
      <c r="S14" s="47">
        <v>6.7083999999999993</v>
      </c>
      <c r="T14" s="47">
        <v>6.7083999999999993</v>
      </c>
      <c r="U14" s="47">
        <v>6.7083999999999993</v>
      </c>
    </row>
    <row r="15" spans="1:21" s="3" customFormat="1" ht="15" x14ac:dyDescent="0.25">
      <c r="A15" s="50" t="s">
        <v>71</v>
      </c>
      <c r="B15" s="47">
        <v>340.07159999999999</v>
      </c>
      <c r="C15" s="47">
        <v>0</v>
      </c>
      <c r="D15" s="47">
        <v>0</v>
      </c>
      <c r="E15" s="47">
        <v>337.05440000000004</v>
      </c>
      <c r="F15" s="47">
        <v>0</v>
      </c>
      <c r="G15" s="47">
        <v>67.084800000000001</v>
      </c>
      <c r="H15" s="47">
        <v>100.90720000000003</v>
      </c>
      <c r="I15" s="47">
        <v>103.78960000000001</v>
      </c>
      <c r="J15" s="47">
        <v>103.15160000000003</v>
      </c>
      <c r="K15" s="47">
        <v>39.037600000000005</v>
      </c>
      <c r="L15" s="47">
        <v>39.141600000000018</v>
      </c>
      <c r="M15" s="47">
        <v>153.83880000000005</v>
      </c>
      <c r="N15" s="47">
        <v>151.31679999999997</v>
      </c>
      <c r="O15" s="47">
        <v>43.703199999999995</v>
      </c>
      <c r="P15" s="47">
        <v>40.405599999999993</v>
      </c>
      <c r="Q15" s="47">
        <v>37.927600000000005</v>
      </c>
      <c r="R15" s="47">
        <v>38.186000000000007</v>
      </c>
      <c r="S15" s="47">
        <v>38.831199999999995</v>
      </c>
      <c r="T15" s="47">
        <v>85.196399999999997</v>
      </c>
      <c r="U15" s="47">
        <v>86.00800000000001</v>
      </c>
    </row>
    <row r="16" spans="1:21" s="3" customFormat="1" ht="15" x14ac:dyDescent="0.25">
      <c r="A16" s="50" t="s">
        <v>72</v>
      </c>
      <c r="B16" s="47">
        <v>0.85</v>
      </c>
      <c r="C16" s="47">
        <v>0.85</v>
      </c>
      <c r="D16" s="47">
        <v>0.85</v>
      </c>
      <c r="E16" s="47">
        <v>0.85</v>
      </c>
      <c r="F16" s="47">
        <v>0.85</v>
      </c>
      <c r="G16" s="47">
        <v>0.85</v>
      </c>
      <c r="H16" s="47">
        <v>0.85</v>
      </c>
      <c r="I16" s="47">
        <v>0.85</v>
      </c>
      <c r="J16" s="47">
        <v>0.85</v>
      </c>
      <c r="K16" s="47">
        <v>0.85</v>
      </c>
      <c r="L16" s="47">
        <v>0.85</v>
      </c>
      <c r="M16" s="47">
        <v>0.85</v>
      </c>
      <c r="N16" s="47">
        <v>0.85</v>
      </c>
      <c r="O16" s="47">
        <v>0.85</v>
      </c>
      <c r="P16" s="47">
        <v>0.85</v>
      </c>
      <c r="Q16" s="47">
        <v>0.85</v>
      </c>
      <c r="R16" s="47">
        <v>0.85</v>
      </c>
      <c r="S16" s="47">
        <v>0.85</v>
      </c>
      <c r="T16" s="47">
        <v>0.85</v>
      </c>
      <c r="U16" s="47">
        <v>0.85</v>
      </c>
    </row>
    <row r="17" spans="1:21" s="3" customFormat="1" ht="15" x14ac:dyDescent="0.25">
      <c r="A17" s="50" t="s">
        <v>74</v>
      </c>
      <c r="B17" s="49">
        <v>2</v>
      </c>
      <c r="C17" s="49">
        <v>0</v>
      </c>
      <c r="D17" s="49">
        <v>0</v>
      </c>
      <c r="E17" s="49">
        <v>2</v>
      </c>
      <c r="F17" s="49">
        <v>0</v>
      </c>
      <c r="G17" s="49">
        <v>2</v>
      </c>
      <c r="H17" s="49">
        <v>2</v>
      </c>
      <c r="I17" s="49">
        <v>2</v>
      </c>
      <c r="J17" s="49">
        <v>2</v>
      </c>
      <c r="K17" s="49">
        <v>2</v>
      </c>
      <c r="L17" s="49">
        <v>2</v>
      </c>
      <c r="M17" s="49">
        <v>2</v>
      </c>
      <c r="N17" s="49">
        <v>2</v>
      </c>
      <c r="O17" s="49">
        <v>2</v>
      </c>
      <c r="P17" s="49">
        <v>2</v>
      </c>
      <c r="Q17" s="49">
        <v>2</v>
      </c>
      <c r="R17" s="49">
        <v>2</v>
      </c>
      <c r="S17" s="49">
        <v>2</v>
      </c>
      <c r="T17" s="49">
        <v>2</v>
      </c>
      <c r="U17" s="49">
        <v>2</v>
      </c>
    </row>
    <row r="18" spans="1:21" s="3" customFormat="1" ht="15" x14ac:dyDescent="0.25">
      <c r="A18" s="50" t="s">
        <v>73</v>
      </c>
      <c r="B18" s="47">
        <v>6717.166664847935</v>
      </c>
      <c r="C18" s="47">
        <v>0</v>
      </c>
      <c r="D18" s="47">
        <v>0</v>
      </c>
      <c r="E18" s="47">
        <v>6657.5702879050241</v>
      </c>
      <c r="F18" s="47">
        <v>0</v>
      </c>
      <c r="G18" s="47">
        <v>1325.0732559790079</v>
      </c>
      <c r="H18" s="47">
        <v>1993.1405035973121</v>
      </c>
      <c r="I18" s="47">
        <v>2050.0742822332159</v>
      </c>
      <c r="J18" s="47">
        <v>2037.4723703647362</v>
      </c>
      <c r="K18" s="47">
        <v>771.07898864729589</v>
      </c>
      <c r="L18" s="47">
        <v>773.13321879513626</v>
      </c>
      <c r="M18" s="47">
        <v>3038.6567391108488</v>
      </c>
      <c r="N18" s="47">
        <v>2988.8416580257272</v>
      </c>
      <c r="O18" s="47">
        <v>863.23491343347177</v>
      </c>
      <c r="P18" s="47">
        <v>798.10001597657572</v>
      </c>
      <c r="Q18" s="47">
        <v>749.15403226169599</v>
      </c>
      <c r="R18" s="47">
        <v>754.25800409056001</v>
      </c>
      <c r="S18" s="47">
        <v>767.00213189235183</v>
      </c>
      <c r="T18" s="47">
        <v>1682.8174362253437</v>
      </c>
      <c r="U18" s="47">
        <v>1698.84833226368</v>
      </c>
    </row>
    <row r="19" spans="1:21" s="3" customFormat="1" ht="30" x14ac:dyDescent="0.25">
      <c r="A19" s="72" t="s">
        <v>222</v>
      </c>
      <c r="B19" s="51">
        <v>8.1346250861010407</v>
      </c>
      <c r="C19" s="51" t="s">
        <v>96</v>
      </c>
      <c r="D19" s="51">
        <v>0</v>
      </c>
      <c r="E19" s="51">
        <v>8.0575737221240828</v>
      </c>
      <c r="F19" s="51">
        <v>0</v>
      </c>
      <c r="G19" s="51">
        <v>1.8349638303327096</v>
      </c>
      <c r="H19" s="51">
        <v>4.3451308830563109</v>
      </c>
      <c r="I19" s="51">
        <v>4.4692489366473476</v>
      </c>
      <c r="J19" s="51">
        <v>4.441776233972119</v>
      </c>
      <c r="K19" s="51">
        <v>1.1426524138428453</v>
      </c>
      <c r="L19" s="51">
        <v>1.1456965520849423</v>
      </c>
      <c r="M19" s="51" t="s">
        <v>96</v>
      </c>
      <c r="N19" s="51" t="s">
        <v>96</v>
      </c>
      <c r="O19" s="51">
        <v>12.216740920376234</v>
      </c>
      <c r="P19" s="51">
        <v>10.436772799480316</v>
      </c>
      <c r="Q19" s="51">
        <v>9.5215306591409288</v>
      </c>
      <c r="R19" s="51">
        <v>9.7879315350451961</v>
      </c>
      <c r="S19" s="51">
        <v>16.999160724566291</v>
      </c>
      <c r="T19" s="51">
        <v>4.3660213427039576</v>
      </c>
      <c r="U19" s="51">
        <v>4.4076130404956313</v>
      </c>
    </row>
    <row r="21" spans="1:21" s="2" customFormat="1" ht="49.5" customHeight="1" x14ac:dyDescent="0.2">
      <c r="A21" s="44" t="s">
        <v>220</v>
      </c>
      <c r="B21" s="52" t="s">
        <v>66</v>
      </c>
      <c r="C21" s="52" t="s">
        <v>67</v>
      </c>
      <c r="D21" s="44" t="s">
        <v>81</v>
      </c>
      <c r="E21" s="44" t="s">
        <v>82</v>
      </c>
      <c r="F21" s="44" t="s">
        <v>79</v>
      </c>
      <c r="G21" s="44" t="s">
        <v>80</v>
      </c>
      <c r="H21" s="44" t="s">
        <v>76</v>
      </c>
      <c r="I21" s="44" t="s">
        <v>77</v>
      </c>
      <c r="J21" s="44" t="s">
        <v>78</v>
      </c>
      <c r="K21" s="44" t="s">
        <v>90</v>
      </c>
      <c r="L21" s="44" t="s">
        <v>91</v>
      </c>
      <c r="M21" s="44" t="s">
        <v>88</v>
      </c>
      <c r="N21" s="44" t="s">
        <v>89</v>
      </c>
      <c r="O21" s="52" t="s">
        <v>83</v>
      </c>
      <c r="P21" s="52" t="s">
        <v>84</v>
      </c>
      <c r="Q21" s="52" t="s">
        <v>85</v>
      </c>
      <c r="R21" s="52" t="s">
        <v>86</v>
      </c>
      <c r="S21" s="52" t="s">
        <v>87</v>
      </c>
      <c r="T21" s="44" t="s">
        <v>92</v>
      </c>
      <c r="U21" s="44" t="s">
        <v>93</v>
      </c>
    </row>
    <row r="22" spans="1:21" s="3" customFormat="1" ht="15" x14ac:dyDescent="0.25">
      <c r="A22" s="50" t="s">
        <v>75</v>
      </c>
      <c r="B22" s="47">
        <v>272.03359999999998</v>
      </c>
      <c r="C22" s="47">
        <v>272.03359999999998</v>
      </c>
      <c r="D22" s="47">
        <v>272.03359999999998</v>
      </c>
      <c r="E22" s="47">
        <v>272.03359999999998</v>
      </c>
      <c r="F22" s="47">
        <v>272.03359999999998</v>
      </c>
      <c r="G22" s="47">
        <v>272.03359999999998</v>
      </c>
      <c r="H22" s="47">
        <v>272.03359999999998</v>
      </c>
      <c r="I22" s="47">
        <v>272.03359999999998</v>
      </c>
      <c r="J22" s="47">
        <v>272.03359999999998</v>
      </c>
      <c r="K22" s="47">
        <v>272.03359999999998</v>
      </c>
      <c r="L22" s="47">
        <v>272.03359999999998</v>
      </c>
      <c r="M22" s="47">
        <v>272.03359999999998</v>
      </c>
      <c r="N22" s="47">
        <v>272.03359999999998</v>
      </c>
      <c r="O22" s="47">
        <v>272.03359999999998</v>
      </c>
      <c r="P22" s="47">
        <v>272.03359999999998</v>
      </c>
      <c r="Q22" s="47">
        <v>272.03359999999998</v>
      </c>
      <c r="R22" s="47">
        <v>272.03359999999998</v>
      </c>
      <c r="S22" s="47">
        <v>272.03359999999998</v>
      </c>
      <c r="T22" s="47">
        <v>272.03359999999998</v>
      </c>
      <c r="U22" s="47">
        <v>272.03359999999998</v>
      </c>
    </row>
    <row r="23" spans="1:21" s="3" customFormat="1" ht="15" x14ac:dyDescent="0.25">
      <c r="A23" s="50" t="s">
        <v>221</v>
      </c>
      <c r="B23" s="47">
        <v>869.81000000005588</v>
      </c>
      <c r="C23" s="47">
        <v>0</v>
      </c>
      <c r="D23" s="47">
        <v>863.13000000000466</v>
      </c>
      <c r="E23" s="47">
        <v>863.13000000000466</v>
      </c>
      <c r="F23" s="47">
        <v>709</v>
      </c>
      <c r="G23" s="48">
        <v>709</v>
      </c>
      <c r="H23" s="47">
        <v>453.33333333333331</v>
      </c>
      <c r="I23" s="48">
        <v>453.33333333333331</v>
      </c>
      <c r="J23" s="48">
        <v>453.33333333333331</v>
      </c>
      <c r="K23" s="47">
        <v>670.56499999994412</v>
      </c>
      <c r="L23" s="47">
        <v>670.56499999994412</v>
      </c>
      <c r="M23" s="48"/>
      <c r="N23" s="48"/>
      <c r="O23" s="47">
        <v>77.879999999997381</v>
      </c>
      <c r="P23" s="47">
        <v>81.679999999993015</v>
      </c>
      <c r="Q23" s="47">
        <v>81.690000000002328</v>
      </c>
      <c r="R23" s="47">
        <v>77.55000000000291</v>
      </c>
      <c r="S23" s="47">
        <v>63.720000000001164</v>
      </c>
      <c r="T23" s="47">
        <v>384.31500000000233</v>
      </c>
      <c r="U23" s="48">
        <v>384.31500000000233</v>
      </c>
    </row>
    <row r="24" spans="1:21" s="3" customFormat="1" ht="15" x14ac:dyDescent="0.25">
      <c r="A24" s="50" t="s">
        <v>70</v>
      </c>
      <c r="B24" s="47">
        <v>6.718399999999999</v>
      </c>
      <c r="C24" s="47">
        <v>6.718399999999999</v>
      </c>
      <c r="D24" s="47">
        <v>6.718399999999999</v>
      </c>
      <c r="E24" s="47">
        <v>6.718399999999999</v>
      </c>
      <c r="F24" s="47">
        <v>6.718399999999999</v>
      </c>
      <c r="G24" s="47">
        <v>6.718399999999999</v>
      </c>
      <c r="H24" s="47">
        <v>6.718399999999999</v>
      </c>
      <c r="I24" s="47">
        <v>6.718399999999999</v>
      </c>
      <c r="J24" s="47">
        <v>6.718399999999999</v>
      </c>
      <c r="K24" s="47">
        <v>6.718399999999999</v>
      </c>
      <c r="L24" s="47">
        <v>6.718399999999999</v>
      </c>
      <c r="M24" s="47">
        <v>6.718399999999999</v>
      </c>
      <c r="N24" s="47">
        <v>6.718399999999999</v>
      </c>
      <c r="O24" s="47">
        <v>6.718399999999999</v>
      </c>
      <c r="P24" s="47">
        <v>6.718399999999999</v>
      </c>
      <c r="Q24" s="47">
        <v>6.718399999999999</v>
      </c>
      <c r="R24" s="47">
        <v>6.718399999999999</v>
      </c>
      <c r="S24" s="47">
        <v>6.718399999999999</v>
      </c>
      <c r="T24" s="47">
        <v>6.718399999999999</v>
      </c>
      <c r="U24" s="47">
        <v>6.718399999999999</v>
      </c>
    </row>
    <row r="25" spans="1:21" s="3" customFormat="1" ht="15" x14ac:dyDescent="0.25">
      <c r="A25" s="50" t="s">
        <v>71</v>
      </c>
      <c r="B25" s="47">
        <v>362.70640000000009</v>
      </c>
      <c r="C25" s="47">
        <v>0</v>
      </c>
      <c r="D25" s="47">
        <v>349.48839999999996</v>
      </c>
      <c r="E25" s="47">
        <v>0</v>
      </c>
      <c r="F25" s="47">
        <v>63.826000000000001</v>
      </c>
      <c r="G25" s="47">
        <v>0</v>
      </c>
      <c r="H25" s="47">
        <v>99.167600000000022</v>
      </c>
      <c r="I25" s="47">
        <v>95.182400000000015</v>
      </c>
      <c r="J25" s="47">
        <v>102.25119999999998</v>
      </c>
      <c r="K25" s="47">
        <v>40.148000000000003</v>
      </c>
      <c r="L25" s="47">
        <v>39.522800000000004</v>
      </c>
      <c r="M25" s="47">
        <v>157.78480000000002</v>
      </c>
      <c r="N25" s="47">
        <v>162.172</v>
      </c>
      <c r="O25" s="47">
        <v>49.930799999999991</v>
      </c>
      <c r="P25" s="47">
        <v>41.089199999999998</v>
      </c>
      <c r="Q25" s="47">
        <v>40.702400000000004</v>
      </c>
      <c r="R25" s="47">
        <v>40.5824</v>
      </c>
      <c r="S25" s="47">
        <v>40.112799999999993</v>
      </c>
      <c r="T25" s="47">
        <v>86.312399999999997</v>
      </c>
      <c r="U25" s="47">
        <v>91.463200000000001</v>
      </c>
    </row>
    <row r="26" spans="1:21" s="3" customFormat="1" ht="15" x14ac:dyDescent="0.25">
      <c r="A26" s="50" t="s">
        <v>72</v>
      </c>
      <c r="B26" s="47">
        <v>0.85</v>
      </c>
      <c r="C26" s="47">
        <v>0.85</v>
      </c>
      <c r="D26" s="47">
        <v>0.85</v>
      </c>
      <c r="E26" s="47">
        <v>0.85</v>
      </c>
      <c r="F26" s="47">
        <v>0.85</v>
      </c>
      <c r="G26" s="47">
        <v>0.85</v>
      </c>
      <c r="H26" s="47">
        <v>0.85</v>
      </c>
      <c r="I26" s="47">
        <v>0.85</v>
      </c>
      <c r="J26" s="47">
        <v>0.85</v>
      </c>
      <c r="K26" s="47">
        <v>0.85</v>
      </c>
      <c r="L26" s="47">
        <v>0.85</v>
      </c>
      <c r="M26" s="47">
        <v>0.85</v>
      </c>
      <c r="N26" s="47">
        <v>0.85</v>
      </c>
      <c r="O26" s="47">
        <v>0.85</v>
      </c>
      <c r="P26" s="47">
        <v>0.85</v>
      </c>
      <c r="Q26" s="47">
        <v>0.85</v>
      </c>
      <c r="R26" s="47">
        <v>0.85</v>
      </c>
      <c r="S26" s="47">
        <v>0.85</v>
      </c>
      <c r="T26" s="47">
        <v>0.85</v>
      </c>
      <c r="U26" s="47">
        <v>0.85</v>
      </c>
    </row>
    <row r="27" spans="1:21" s="3" customFormat="1" ht="15" x14ac:dyDescent="0.25">
      <c r="A27" s="50" t="s">
        <v>74</v>
      </c>
      <c r="B27" s="49">
        <v>2</v>
      </c>
      <c r="C27" s="49">
        <v>0</v>
      </c>
      <c r="D27" s="49">
        <v>2</v>
      </c>
      <c r="E27" s="49">
        <v>0</v>
      </c>
      <c r="F27" s="49">
        <v>2</v>
      </c>
      <c r="G27" s="49">
        <v>0</v>
      </c>
      <c r="H27" s="49">
        <v>2</v>
      </c>
      <c r="I27" s="49">
        <v>1.9899999999997817</v>
      </c>
      <c r="J27" s="49">
        <v>2</v>
      </c>
      <c r="K27" s="49">
        <v>2</v>
      </c>
      <c r="L27" s="49">
        <v>2</v>
      </c>
      <c r="M27" s="49">
        <v>2</v>
      </c>
      <c r="N27" s="49">
        <v>2</v>
      </c>
      <c r="O27" s="49">
        <v>2</v>
      </c>
      <c r="P27" s="49">
        <v>2</v>
      </c>
      <c r="Q27" s="49">
        <v>2</v>
      </c>
      <c r="R27" s="49">
        <v>2</v>
      </c>
      <c r="S27" s="49">
        <v>2</v>
      </c>
      <c r="T27" s="49">
        <v>2</v>
      </c>
      <c r="U27" s="49">
        <v>2.0100000000002183</v>
      </c>
    </row>
    <row r="28" spans="1:21" s="3" customFormat="1" ht="15" x14ac:dyDescent="0.25">
      <c r="A28" s="50" t="s">
        <v>73</v>
      </c>
      <c r="B28" s="47">
        <v>7174.9335819965445</v>
      </c>
      <c r="C28" s="47">
        <v>0</v>
      </c>
      <c r="D28" s="47">
        <v>6913.459640299262</v>
      </c>
      <c r="E28" s="47">
        <v>0</v>
      </c>
      <c r="F28" s="47">
        <v>1262.5840371289596</v>
      </c>
      <c r="G28" s="47">
        <v>0</v>
      </c>
      <c r="H28" s="47">
        <v>1961.6994447464961</v>
      </c>
      <c r="I28" s="47">
        <v>1873.4512575021508</v>
      </c>
      <c r="J28" s="47">
        <v>2022.6981621483515</v>
      </c>
      <c r="K28" s="47">
        <v>794.19396363007991</v>
      </c>
      <c r="L28" s="47">
        <v>781.8264716986879</v>
      </c>
      <c r="M28" s="47">
        <v>3121.2447871022077</v>
      </c>
      <c r="N28" s="47">
        <v>3208.0308725171194</v>
      </c>
      <c r="O28" s="47">
        <v>987.71395733836766</v>
      </c>
      <c r="P28" s="47">
        <v>812.81245916083174</v>
      </c>
      <c r="Q28" s="47">
        <v>805.16091424870388</v>
      </c>
      <c r="R28" s="47">
        <v>802.78711541350378</v>
      </c>
      <c r="S28" s="47">
        <v>793.49764930508763</v>
      </c>
      <c r="T28" s="47">
        <v>1707.4022881943035</v>
      </c>
      <c r="U28" s="47">
        <v>1818.3401150983884</v>
      </c>
    </row>
    <row r="29" spans="1:21" s="3" customFormat="1" ht="30" x14ac:dyDescent="0.25">
      <c r="A29" s="72" t="s">
        <v>222</v>
      </c>
      <c r="B29" s="51">
        <v>8.2488515675792229</v>
      </c>
      <c r="C29" s="51" t="s">
        <v>96</v>
      </c>
      <c r="D29" s="51">
        <v>8.0097547765681014</v>
      </c>
      <c r="E29" s="51">
        <v>0</v>
      </c>
      <c r="F29" s="51">
        <v>1.7807955389689134</v>
      </c>
      <c r="G29" s="51">
        <v>0</v>
      </c>
      <c r="H29" s="51">
        <v>4.3272781869408004</v>
      </c>
      <c r="I29" s="51">
        <v>4.1326130680194506</v>
      </c>
      <c r="J29" s="51">
        <v>4.461834181209599</v>
      </c>
      <c r="K29" s="51">
        <v>1.1843653689502824</v>
      </c>
      <c r="L29" s="51">
        <v>1.1659219787772297</v>
      </c>
      <c r="M29" s="51" t="s">
        <v>96</v>
      </c>
      <c r="N29" s="51" t="s">
        <v>96</v>
      </c>
      <c r="O29" s="51">
        <v>12.682511008454043</v>
      </c>
      <c r="P29" s="51">
        <v>9.9511809397759698</v>
      </c>
      <c r="Q29" s="51">
        <v>9.8562971507979054</v>
      </c>
      <c r="R29" s="51">
        <v>10.351864802236927</v>
      </c>
      <c r="S29" s="51">
        <v>12.452882129709245</v>
      </c>
      <c r="T29" s="51">
        <v>4.4427157102748867</v>
      </c>
      <c r="U29" s="51">
        <v>4.7313795066504749</v>
      </c>
    </row>
    <row r="31" spans="1:21" s="2" customFormat="1" ht="49.5" customHeight="1" x14ac:dyDescent="0.2">
      <c r="A31" s="44" t="s">
        <v>219</v>
      </c>
      <c r="B31" s="52" t="s">
        <v>66</v>
      </c>
      <c r="C31" s="52" t="s">
        <v>67</v>
      </c>
      <c r="D31" s="44" t="s">
        <v>81</v>
      </c>
      <c r="E31" s="44" t="s">
        <v>82</v>
      </c>
      <c r="F31" s="44" t="s">
        <v>79</v>
      </c>
      <c r="G31" s="44" t="s">
        <v>80</v>
      </c>
      <c r="H31" s="44" t="s">
        <v>76</v>
      </c>
      <c r="I31" s="44" t="s">
        <v>77</v>
      </c>
      <c r="J31" s="44" t="s">
        <v>78</v>
      </c>
      <c r="K31" s="44" t="s">
        <v>90</v>
      </c>
      <c r="L31" s="44" t="s">
        <v>91</v>
      </c>
      <c r="M31" s="44" t="s">
        <v>88</v>
      </c>
      <c r="N31" s="44" t="s">
        <v>89</v>
      </c>
      <c r="O31" s="52" t="s">
        <v>83</v>
      </c>
      <c r="P31" s="52" t="s">
        <v>84</v>
      </c>
      <c r="Q31" s="52" t="s">
        <v>85</v>
      </c>
      <c r="R31" s="52" t="s">
        <v>86</v>
      </c>
      <c r="S31" s="52" t="s">
        <v>87</v>
      </c>
      <c r="T31" s="44" t="s">
        <v>92</v>
      </c>
      <c r="U31" s="44" t="s">
        <v>93</v>
      </c>
    </row>
    <row r="32" spans="1:21" s="3" customFormat="1" ht="15" x14ac:dyDescent="0.25">
      <c r="A32" s="50" t="s">
        <v>75</v>
      </c>
      <c r="B32" s="47">
        <v>272.16840000000002</v>
      </c>
      <c r="C32" s="47">
        <v>272.16840000000002</v>
      </c>
      <c r="D32" s="47">
        <v>272.16840000000002</v>
      </c>
      <c r="E32" s="47">
        <v>272.16840000000002</v>
      </c>
      <c r="F32" s="47">
        <v>272.16840000000002</v>
      </c>
      <c r="G32" s="47">
        <v>272.16840000000002</v>
      </c>
      <c r="H32" s="47">
        <v>272.16840000000002</v>
      </c>
      <c r="I32" s="47">
        <v>272.16840000000002</v>
      </c>
      <c r="J32" s="47">
        <v>272.16840000000002</v>
      </c>
      <c r="K32" s="47">
        <v>272.16840000000002</v>
      </c>
      <c r="L32" s="47">
        <v>272.16840000000002</v>
      </c>
      <c r="M32" s="47">
        <v>272.16840000000002</v>
      </c>
      <c r="N32" s="47">
        <v>272.16840000000002</v>
      </c>
      <c r="O32" s="47">
        <v>272.16840000000002</v>
      </c>
      <c r="P32" s="47">
        <v>272.16840000000002</v>
      </c>
      <c r="Q32" s="47">
        <v>272.16840000000002</v>
      </c>
      <c r="R32" s="47">
        <v>272.16840000000002</v>
      </c>
      <c r="S32" s="47">
        <v>272.16840000000002</v>
      </c>
      <c r="T32" s="47">
        <v>272.16840000000002</v>
      </c>
      <c r="U32" s="47">
        <v>272.16840000000002</v>
      </c>
    </row>
    <row r="33" spans="1:21" s="3" customFormat="1" ht="15" x14ac:dyDescent="0.25">
      <c r="A33" s="50" t="s">
        <v>221</v>
      </c>
      <c r="B33" s="47">
        <v>876.13000000000466</v>
      </c>
      <c r="C33" s="47">
        <v>0</v>
      </c>
      <c r="D33" s="47">
        <v>869.55999999999767</v>
      </c>
      <c r="E33" s="47">
        <v>869.55999999999767</v>
      </c>
      <c r="F33" s="47">
        <v>702.93999999994412</v>
      </c>
      <c r="G33" s="48">
        <v>702.93999999994412</v>
      </c>
      <c r="H33" s="47">
        <v>449.12666666662943</v>
      </c>
      <c r="I33" s="48">
        <v>449.12666666662943</v>
      </c>
      <c r="J33" s="48">
        <v>449.12666666662943</v>
      </c>
      <c r="K33" s="47">
        <v>658.93500000005588</v>
      </c>
      <c r="L33" s="47">
        <v>658.93500000005588</v>
      </c>
      <c r="M33" s="48"/>
      <c r="N33" s="48"/>
      <c r="O33" s="47">
        <v>67.839999999996508</v>
      </c>
      <c r="P33" s="47">
        <v>84.009999999994761</v>
      </c>
      <c r="Q33" s="47">
        <v>81.30000000000291</v>
      </c>
      <c r="R33" s="47">
        <v>82.100000000005821</v>
      </c>
      <c r="S33" s="47">
        <v>58.879999999997381</v>
      </c>
      <c r="T33" s="47">
        <v>390.875</v>
      </c>
      <c r="U33" s="48">
        <v>390.875</v>
      </c>
    </row>
    <row r="34" spans="1:21" s="3" customFormat="1" ht="15" x14ac:dyDescent="0.25">
      <c r="A34" s="50" t="s">
        <v>70</v>
      </c>
      <c r="B34" s="47">
        <v>6.716400000000001</v>
      </c>
      <c r="C34" s="47">
        <v>6.716400000000001</v>
      </c>
      <c r="D34" s="47">
        <v>6.716400000000001</v>
      </c>
      <c r="E34" s="47">
        <v>6.716400000000001</v>
      </c>
      <c r="F34" s="47">
        <v>6.716400000000001</v>
      </c>
      <c r="G34" s="47">
        <v>6.716400000000001</v>
      </c>
      <c r="H34" s="47">
        <v>6.716400000000001</v>
      </c>
      <c r="I34" s="47">
        <v>6.716400000000001</v>
      </c>
      <c r="J34" s="47">
        <v>6.716400000000001</v>
      </c>
      <c r="K34" s="47">
        <v>6.716400000000001</v>
      </c>
      <c r="L34" s="47">
        <v>6.716400000000001</v>
      </c>
      <c r="M34" s="47">
        <v>6.716400000000001</v>
      </c>
      <c r="N34" s="47">
        <v>6.716400000000001</v>
      </c>
      <c r="O34" s="47">
        <v>6.716400000000001</v>
      </c>
      <c r="P34" s="47">
        <v>6.716400000000001</v>
      </c>
      <c r="Q34" s="47">
        <v>6.716400000000001</v>
      </c>
      <c r="R34" s="47">
        <v>6.716400000000001</v>
      </c>
      <c r="S34" s="47">
        <v>6.716400000000001</v>
      </c>
      <c r="T34" s="47">
        <v>6.716400000000001</v>
      </c>
      <c r="U34" s="47">
        <v>6.716400000000001</v>
      </c>
    </row>
    <row r="35" spans="1:21" s="3" customFormat="1" ht="15" x14ac:dyDescent="0.25">
      <c r="A35" s="50" t="s">
        <v>71</v>
      </c>
      <c r="B35" s="47">
        <v>362.90559999999999</v>
      </c>
      <c r="C35" s="47">
        <v>0</v>
      </c>
      <c r="D35" s="47">
        <v>349.93400000000003</v>
      </c>
      <c r="E35" s="47">
        <v>0</v>
      </c>
      <c r="F35" s="47">
        <v>63.55080000000001</v>
      </c>
      <c r="G35" s="47">
        <v>0</v>
      </c>
      <c r="H35" s="47">
        <v>99.274799999999971</v>
      </c>
      <c r="I35" s="47">
        <v>95.923600000000008</v>
      </c>
      <c r="J35" s="47">
        <v>103.22199999999999</v>
      </c>
      <c r="K35" s="47">
        <v>38.2928</v>
      </c>
      <c r="L35" s="47">
        <v>38.630800000000001</v>
      </c>
      <c r="M35" s="47">
        <v>155.50959999999998</v>
      </c>
      <c r="N35" s="47">
        <v>159.89440000000002</v>
      </c>
      <c r="O35" s="47">
        <v>49.007200000000005</v>
      </c>
      <c r="P35" s="47">
        <v>42.764400000000002</v>
      </c>
      <c r="Q35" s="47">
        <v>41.210399999999993</v>
      </c>
      <c r="R35" s="47">
        <v>41.126000000000005</v>
      </c>
      <c r="S35" s="47">
        <v>38.797199999999997</v>
      </c>
      <c r="T35" s="47">
        <v>85.194400000000002</v>
      </c>
      <c r="U35" s="47">
        <v>90.460399999999993</v>
      </c>
    </row>
    <row r="36" spans="1:21" s="3" customFormat="1" ht="15" x14ac:dyDescent="0.25">
      <c r="A36" s="50" t="s">
        <v>72</v>
      </c>
      <c r="B36" s="47">
        <v>0.85</v>
      </c>
      <c r="C36" s="47">
        <v>0.85</v>
      </c>
      <c r="D36" s="47">
        <v>0.85</v>
      </c>
      <c r="E36" s="47">
        <v>0.85</v>
      </c>
      <c r="F36" s="47">
        <v>0.85</v>
      </c>
      <c r="G36" s="47">
        <v>0.85</v>
      </c>
      <c r="H36" s="47">
        <v>0.85</v>
      </c>
      <c r="I36" s="47">
        <v>0.85</v>
      </c>
      <c r="J36" s="47">
        <v>0.85</v>
      </c>
      <c r="K36" s="47">
        <v>0.85</v>
      </c>
      <c r="L36" s="47">
        <v>0.85</v>
      </c>
      <c r="M36" s="47">
        <v>0.85</v>
      </c>
      <c r="N36" s="47">
        <v>0.85</v>
      </c>
      <c r="O36" s="47">
        <v>0.85</v>
      </c>
      <c r="P36" s="47">
        <v>0.85</v>
      </c>
      <c r="Q36" s="47">
        <v>0.85</v>
      </c>
      <c r="R36" s="47">
        <v>0.85</v>
      </c>
      <c r="S36" s="47">
        <v>0.85</v>
      </c>
      <c r="T36" s="47">
        <v>0.85</v>
      </c>
      <c r="U36" s="47">
        <v>0.85</v>
      </c>
    </row>
    <row r="37" spans="1:21" s="3" customFormat="1" ht="15" x14ac:dyDescent="0.25">
      <c r="A37" s="50" t="s">
        <v>74</v>
      </c>
      <c r="B37" s="49">
        <v>2</v>
      </c>
      <c r="C37" s="49">
        <v>0</v>
      </c>
      <c r="D37" s="49">
        <v>2</v>
      </c>
      <c r="E37" s="49">
        <v>0</v>
      </c>
      <c r="F37" s="49">
        <v>2</v>
      </c>
      <c r="G37" s="49">
        <v>0</v>
      </c>
      <c r="H37" s="49">
        <v>2</v>
      </c>
      <c r="I37" s="49">
        <v>2</v>
      </c>
      <c r="J37" s="49">
        <v>2</v>
      </c>
      <c r="K37" s="49">
        <v>2</v>
      </c>
      <c r="L37" s="49">
        <v>2</v>
      </c>
      <c r="M37" s="49">
        <v>2</v>
      </c>
      <c r="N37" s="49">
        <v>2</v>
      </c>
      <c r="O37" s="49">
        <v>2</v>
      </c>
      <c r="P37" s="49">
        <v>2</v>
      </c>
      <c r="Q37" s="49">
        <v>2</v>
      </c>
      <c r="R37" s="49">
        <v>2</v>
      </c>
      <c r="S37" s="49">
        <v>1.9900000000000091</v>
      </c>
      <c r="T37" s="49">
        <v>2</v>
      </c>
      <c r="U37" s="49">
        <v>1.9899999999997817</v>
      </c>
    </row>
    <row r="38" spans="1:21" s="3" customFormat="1" ht="15" x14ac:dyDescent="0.25">
      <c r="A38" s="50" t="s">
        <v>73</v>
      </c>
      <c r="B38" s="47">
        <v>7176.737009565697</v>
      </c>
      <c r="C38" s="47">
        <v>0</v>
      </c>
      <c r="D38" s="47">
        <v>6920.2136553014416</v>
      </c>
      <c r="E38" s="47">
        <v>0</v>
      </c>
      <c r="F38" s="47">
        <v>1256.7658871825283</v>
      </c>
      <c r="G38" s="47">
        <v>0</v>
      </c>
      <c r="H38" s="47">
        <v>1963.2354289303676</v>
      </c>
      <c r="I38" s="47">
        <v>1896.9628746725766</v>
      </c>
      <c r="J38" s="47">
        <v>2041.2943410115201</v>
      </c>
      <c r="K38" s="47">
        <v>757.26953499724812</v>
      </c>
      <c r="L38" s="47">
        <v>763.95374463532823</v>
      </c>
      <c r="M38" s="47">
        <v>3075.3217962543358</v>
      </c>
      <c r="N38" s="47">
        <v>3162.034584482305</v>
      </c>
      <c r="O38" s="47">
        <v>969.15502537075224</v>
      </c>
      <c r="P38" s="47">
        <v>845.69885990150419</v>
      </c>
      <c r="Q38" s="47">
        <v>814.96731618086403</v>
      </c>
      <c r="R38" s="47">
        <v>813.29824134816022</v>
      </c>
      <c r="S38" s="47">
        <v>763.40821029486983</v>
      </c>
      <c r="T38" s="47">
        <v>1684.7847029303043</v>
      </c>
      <c r="U38" s="47">
        <v>1779.9792785703648</v>
      </c>
    </row>
    <row r="39" spans="1:21" s="3" customFormat="1" ht="30" x14ac:dyDescent="0.25">
      <c r="A39" s="72" t="s">
        <v>222</v>
      </c>
      <c r="B39" s="51">
        <v>8.1914065373468077</v>
      </c>
      <c r="C39" s="51" t="s">
        <v>96</v>
      </c>
      <c r="D39" s="51">
        <v>7.958293453357399</v>
      </c>
      <c r="E39" s="51">
        <v>0</v>
      </c>
      <c r="F39" s="51">
        <v>1.7878707815498167</v>
      </c>
      <c r="G39" s="51">
        <v>0</v>
      </c>
      <c r="H39" s="51">
        <v>4.3712288194804669</v>
      </c>
      <c r="I39" s="51">
        <v>4.2236701034735571</v>
      </c>
      <c r="J39" s="51">
        <v>4.5450303723040779</v>
      </c>
      <c r="K39" s="51">
        <v>1.1492325267244627</v>
      </c>
      <c r="L39" s="51">
        <v>1.1593764857463382</v>
      </c>
      <c r="M39" s="51" t="s">
        <v>96</v>
      </c>
      <c r="N39" s="51" t="s">
        <v>96</v>
      </c>
      <c r="O39" s="51">
        <v>14.285893652281871</v>
      </c>
      <c r="P39" s="51">
        <v>10.066645160118521</v>
      </c>
      <c r="Q39" s="51">
        <v>10.024198231006579</v>
      </c>
      <c r="R39" s="51">
        <v>9.9061905158112378</v>
      </c>
      <c r="S39" s="51">
        <v>12.965492702019425</v>
      </c>
      <c r="T39" s="51">
        <v>4.3102902537391863</v>
      </c>
      <c r="U39" s="51">
        <v>4.553832500339916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N104"/>
  <sheetViews>
    <sheetView workbookViewId="0">
      <pane xSplit="1" ySplit="2" topLeftCell="E36" activePane="bottomRight" state="frozen"/>
      <selection pane="topRight" activeCell="B1" sqref="B1"/>
      <selection pane="bottomLeft" activeCell="A3" sqref="A3"/>
      <selection pane="bottomRight" activeCell="N72" sqref="N72"/>
    </sheetView>
  </sheetViews>
  <sheetFormatPr defaultRowHeight="12.75" x14ac:dyDescent="0.2"/>
  <cols>
    <col min="1" max="1" width="15.85546875" bestFit="1" customWidth="1"/>
  </cols>
  <sheetData>
    <row r="1" spans="1:66" s="4" customFormat="1" ht="76.5" x14ac:dyDescent="0.2">
      <c r="A1" s="10" t="s">
        <v>65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  <c r="AD1" s="8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8" t="s">
        <v>33</v>
      </c>
      <c r="AJ1" s="8" t="s">
        <v>34</v>
      </c>
      <c r="AK1" s="8" t="s">
        <v>35</v>
      </c>
      <c r="AL1" s="8" t="s">
        <v>36</v>
      </c>
      <c r="AM1" s="8" t="s">
        <v>37</v>
      </c>
      <c r="AN1" s="8" t="s">
        <v>38</v>
      </c>
      <c r="AO1" s="8" t="s">
        <v>39</v>
      </c>
      <c r="AP1" s="8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6" t="s">
        <v>45</v>
      </c>
      <c r="AV1" s="6" t="s">
        <v>46</v>
      </c>
      <c r="AW1" s="6" t="s">
        <v>47</v>
      </c>
      <c r="AX1" s="6" t="s">
        <v>48</v>
      </c>
      <c r="AY1" s="6" t="s">
        <v>49</v>
      </c>
      <c r="AZ1" s="6" t="s">
        <v>50</v>
      </c>
      <c r="BA1" s="6" t="s">
        <v>51</v>
      </c>
      <c r="BB1" s="6" t="s">
        <v>52</v>
      </c>
      <c r="BC1" s="6" t="s">
        <v>53</v>
      </c>
      <c r="BD1" s="6" t="s">
        <v>54</v>
      </c>
      <c r="BE1" s="6" t="s">
        <v>55</v>
      </c>
      <c r="BF1" s="6" t="s">
        <v>56</v>
      </c>
      <c r="BG1" s="6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</row>
    <row r="2" spans="1:66" s="5" customFormat="1" ht="15" x14ac:dyDescent="0.3">
      <c r="A2" s="54" t="s">
        <v>114</v>
      </c>
      <c r="B2" s="43">
        <v>273.06</v>
      </c>
      <c r="C2" s="43">
        <v>2585751</v>
      </c>
      <c r="D2" s="43">
        <v>42200.69</v>
      </c>
      <c r="E2" s="43">
        <v>1113364.1299999999</v>
      </c>
      <c r="F2" s="43">
        <v>2038896.88</v>
      </c>
      <c r="G2" s="43">
        <v>2131322.75</v>
      </c>
      <c r="H2" s="43">
        <v>10021845</v>
      </c>
      <c r="I2" s="43">
        <v>300.87</v>
      </c>
      <c r="J2" s="43">
        <v>7505.27</v>
      </c>
      <c r="K2" s="43">
        <v>1110987.25</v>
      </c>
      <c r="L2" s="43">
        <v>2000874.75</v>
      </c>
      <c r="M2" s="43">
        <v>2232393.25</v>
      </c>
      <c r="N2" s="43">
        <v>507.9</v>
      </c>
      <c r="O2" s="43">
        <v>18305.37</v>
      </c>
      <c r="P2" s="43">
        <v>203233.89</v>
      </c>
      <c r="Q2" s="43">
        <v>387665.56</v>
      </c>
      <c r="R2" s="43">
        <v>383006.56</v>
      </c>
      <c r="S2" s="43">
        <v>381814.84</v>
      </c>
      <c r="T2" s="43">
        <v>88868.35</v>
      </c>
      <c r="U2" s="43">
        <v>246552.34</v>
      </c>
      <c r="V2" s="43">
        <v>38.36</v>
      </c>
      <c r="W2" s="43">
        <v>38.81</v>
      </c>
      <c r="X2" s="43">
        <v>149.88</v>
      </c>
      <c r="Y2" s="43">
        <v>148.80000000000001</v>
      </c>
      <c r="Z2" s="43">
        <v>84.45</v>
      </c>
      <c r="AA2" s="43">
        <v>85.24</v>
      </c>
      <c r="AB2" s="43">
        <v>337.42</v>
      </c>
      <c r="AC2" s="43">
        <v>0.19</v>
      </c>
      <c r="AD2" s="43">
        <v>-0.71</v>
      </c>
      <c r="AE2" s="43">
        <v>332.14</v>
      </c>
      <c r="AF2" s="43">
        <v>-0.01</v>
      </c>
      <c r="AG2" s="43">
        <v>66.52</v>
      </c>
      <c r="AH2" s="43">
        <v>100.76</v>
      </c>
      <c r="AI2" s="43">
        <v>104.18</v>
      </c>
      <c r="AJ2" s="43">
        <v>103.38</v>
      </c>
      <c r="AK2" s="43">
        <v>31.91</v>
      </c>
      <c r="AL2" s="43">
        <v>42.07</v>
      </c>
      <c r="AM2" s="43">
        <v>40.950000000000003</v>
      </c>
      <c r="AN2" s="43">
        <v>39.049999999999997</v>
      </c>
      <c r="AO2" s="43">
        <v>41.03</v>
      </c>
      <c r="AP2" s="43">
        <v>9437.59</v>
      </c>
      <c r="AQ2" s="43">
        <v>6.76</v>
      </c>
      <c r="AR2" s="43">
        <v>6.72</v>
      </c>
      <c r="AS2" s="43">
        <v>6.75</v>
      </c>
      <c r="AT2" s="43">
        <v>6.75</v>
      </c>
      <c r="AU2" s="43">
        <v>2932.37</v>
      </c>
      <c r="AV2" s="43">
        <v>126.32</v>
      </c>
      <c r="AW2" s="43">
        <v>116.13</v>
      </c>
      <c r="AX2" s="43">
        <v>2822.93</v>
      </c>
      <c r="AY2" s="43">
        <v>2951.33</v>
      </c>
      <c r="AZ2" s="43">
        <v>855.32</v>
      </c>
      <c r="BA2" s="43">
        <v>3438.61</v>
      </c>
      <c r="BB2" s="43">
        <v>3180.34</v>
      </c>
      <c r="BC2" s="43">
        <v>3107.37</v>
      </c>
      <c r="BD2" s="43">
        <v>3590.27</v>
      </c>
      <c r="BE2" s="43">
        <v>3522.03</v>
      </c>
      <c r="BF2" s="43">
        <v>3599.93</v>
      </c>
      <c r="BG2" s="43">
        <v>3530.67</v>
      </c>
      <c r="BH2" s="43">
        <v>2187.98</v>
      </c>
      <c r="BI2" s="43">
        <v>3456.89</v>
      </c>
      <c r="BJ2" s="43">
        <v>3464.43</v>
      </c>
      <c r="BK2" s="43">
        <v>3411.51</v>
      </c>
      <c r="BL2" s="43">
        <v>1577.42</v>
      </c>
      <c r="BM2" s="43">
        <v>3529.85</v>
      </c>
      <c r="BN2" s="43">
        <v>3482.37</v>
      </c>
    </row>
    <row r="3" spans="1:66" s="5" customFormat="1" ht="15" x14ac:dyDescent="0.3">
      <c r="A3" s="54" t="s">
        <v>115</v>
      </c>
      <c r="B3" s="43">
        <v>273.55</v>
      </c>
      <c r="C3" s="43">
        <v>2585785</v>
      </c>
      <c r="D3" s="43">
        <v>42200.69</v>
      </c>
      <c r="E3" s="43">
        <v>1113397.6299999999</v>
      </c>
      <c r="F3" s="43">
        <v>2038953.25</v>
      </c>
      <c r="G3" s="43">
        <v>2131382</v>
      </c>
      <c r="H3" s="43">
        <v>10021912</v>
      </c>
      <c r="I3" s="43">
        <v>300.87</v>
      </c>
      <c r="J3" s="43">
        <v>7505.39</v>
      </c>
      <c r="K3" s="43">
        <v>1111018.6299999999</v>
      </c>
      <c r="L3" s="43">
        <v>2000931.5</v>
      </c>
      <c r="M3" s="43">
        <v>2232460.75</v>
      </c>
      <c r="N3" s="43">
        <v>507.9</v>
      </c>
      <c r="O3" s="43">
        <v>18305.37</v>
      </c>
      <c r="P3" s="43">
        <v>203234.94</v>
      </c>
      <c r="Q3" s="43">
        <v>387668.88</v>
      </c>
      <c r="R3" s="43">
        <v>383009.84</v>
      </c>
      <c r="S3" s="43">
        <v>381817.84</v>
      </c>
      <c r="T3" s="43">
        <v>88871.27</v>
      </c>
      <c r="U3" s="43">
        <v>246553.78</v>
      </c>
      <c r="V3" s="43">
        <v>38.21</v>
      </c>
      <c r="W3" s="43">
        <v>38.78</v>
      </c>
      <c r="X3" s="43">
        <v>150.53</v>
      </c>
      <c r="Y3" s="43">
        <v>149.13999999999999</v>
      </c>
      <c r="Z3" s="43">
        <v>84.35</v>
      </c>
      <c r="AA3" s="43">
        <v>85.35</v>
      </c>
      <c r="AB3" s="43">
        <v>339.18</v>
      </c>
      <c r="AC3" s="43">
        <v>0.19</v>
      </c>
      <c r="AD3" s="43">
        <v>-0.71</v>
      </c>
      <c r="AE3" s="43">
        <v>333.45</v>
      </c>
      <c r="AF3" s="43">
        <v>-0.01</v>
      </c>
      <c r="AG3" s="43">
        <v>66.75</v>
      </c>
      <c r="AH3" s="43">
        <v>101.16</v>
      </c>
      <c r="AI3" s="43">
        <v>104.31</v>
      </c>
      <c r="AJ3" s="43">
        <v>103.43</v>
      </c>
      <c r="AK3" s="43">
        <v>31.6</v>
      </c>
      <c r="AL3" s="43">
        <v>42.02</v>
      </c>
      <c r="AM3" s="43">
        <v>40.94</v>
      </c>
      <c r="AN3" s="43">
        <v>39.08</v>
      </c>
      <c r="AO3" s="43">
        <v>41.07</v>
      </c>
      <c r="AP3" s="43">
        <v>9459.4699999999993</v>
      </c>
      <c r="AQ3" s="43">
        <v>6.75</v>
      </c>
      <c r="AR3" s="43">
        <v>6.72</v>
      </c>
      <c r="AS3" s="43">
        <v>6.74</v>
      </c>
      <c r="AT3" s="43">
        <v>6.74</v>
      </c>
      <c r="AU3" s="43">
        <v>2932.45</v>
      </c>
      <c r="AV3" s="43">
        <v>126.32</v>
      </c>
      <c r="AW3" s="43">
        <v>116.13</v>
      </c>
      <c r="AX3" s="43">
        <v>2823.01</v>
      </c>
      <c r="AY3" s="43">
        <v>2951.33</v>
      </c>
      <c r="AZ3" s="43">
        <v>855.41</v>
      </c>
      <c r="BA3" s="43">
        <v>3438.69</v>
      </c>
      <c r="BB3" s="43">
        <v>3180.42</v>
      </c>
      <c r="BC3" s="43">
        <v>3107.45</v>
      </c>
      <c r="BD3" s="43">
        <v>3590.35</v>
      </c>
      <c r="BE3" s="43">
        <v>3522.12</v>
      </c>
      <c r="BF3" s="43">
        <v>3600.02</v>
      </c>
      <c r="BG3" s="43">
        <v>3530.76</v>
      </c>
      <c r="BH3" s="43">
        <v>2188.06</v>
      </c>
      <c r="BI3" s="43">
        <v>3456.98</v>
      </c>
      <c r="BJ3" s="43">
        <v>3464.51</v>
      </c>
      <c r="BK3" s="43">
        <v>3411.59</v>
      </c>
      <c r="BL3" s="43">
        <v>1577.51</v>
      </c>
      <c r="BM3" s="43">
        <v>3529.93</v>
      </c>
      <c r="BN3" s="43">
        <v>3482.45</v>
      </c>
    </row>
    <row r="4" spans="1:66" s="5" customFormat="1" ht="15" x14ac:dyDescent="0.3">
      <c r="A4" s="54" t="s">
        <v>116</v>
      </c>
      <c r="B4" s="43">
        <v>273.27</v>
      </c>
      <c r="C4" s="43">
        <v>2585819</v>
      </c>
      <c r="D4" s="43">
        <v>42200.69</v>
      </c>
      <c r="E4" s="43">
        <v>1113431.25</v>
      </c>
      <c r="F4" s="43">
        <v>2039009.63</v>
      </c>
      <c r="G4" s="43">
        <v>2131441.25</v>
      </c>
      <c r="H4" s="43">
        <v>10021979</v>
      </c>
      <c r="I4" s="43">
        <v>300.87</v>
      </c>
      <c r="J4" s="43">
        <v>7505.51</v>
      </c>
      <c r="K4" s="43">
        <v>1111050</v>
      </c>
      <c r="L4" s="43">
        <v>2000988.25</v>
      </c>
      <c r="M4" s="43">
        <v>2232528.25</v>
      </c>
      <c r="N4" s="43">
        <v>507.9</v>
      </c>
      <c r="O4" s="43">
        <v>18305.37</v>
      </c>
      <c r="P4" s="43">
        <v>203236</v>
      </c>
      <c r="Q4" s="43">
        <v>387672.22</v>
      </c>
      <c r="R4" s="43">
        <v>383013.22</v>
      </c>
      <c r="S4" s="43">
        <v>381821.16</v>
      </c>
      <c r="T4" s="43">
        <v>88873.98</v>
      </c>
      <c r="U4" s="43">
        <v>246554.39</v>
      </c>
      <c r="V4" s="43">
        <v>38.21</v>
      </c>
      <c r="W4" s="43">
        <v>38.78</v>
      </c>
      <c r="X4" s="43">
        <v>150.4</v>
      </c>
      <c r="Y4" s="43">
        <v>148.54</v>
      </c>
      <c r="Z4" s="43">
        <v>84.07</v>
      </c>
      <c r="AA4" s="43">
        <v>84.96</v>
      </c>
      <c r="AB4" s="43">
        <v>338.88</v>
      </c>
      <c r="AC4" s="43">
        <v>0.19</v>
      </c>
      <c r="AD4" s="43">
        <v>-0.71</v>
      </c>
      <c r="AE4" s="43">
        <v>332.94</v>
      </c>
      <c r="AF4" s="43">
        <v>-0.01</v>
      </c>
      <c r="AG4" s="43">
        <v>66.510000000000005</v>
      </c>
      <c r="AH4" s="43">
        <v>101.16</v>
      </c>
      <c r="AI4" s="43">
        <v>104.31</v>
      </c>
      <c r="AJ4" s="43">
        <v>103.43</v>
      </c>
      <c r="AK4" s="43">
        <v>31.84</v>
      </c>
      <c r="AL4" s="43">
        <v>42.05</v>
      </c>
      <c r="AM4" s="43">
        <v>41.04</v>
      </c>
      <c r="AN4" s="43">
        <v>39.24</v>
      </c>
      <c r="AO4" s="43">
        <v>40.96</v>
      </c>
      <c r="AP4" s="43">
        <v>9449.27</v>
      </c>
      <c r="AQ4" s="43">
        <v>6.75</v>
      </c>
      <c r="AR4" s="43">
        <v>6.72</v>
      </c>
      <c r="AS4" s="43">
        <v>6.74</v>
      </c>
      <c r="AT4" s="43">
        <v>6.74</v>
      </c>
      <c r="AU4" s="43">
        <v>2932.54</v>
      </c>
      <c r="AV4" s="43">
        <v>126.32</v>
      </c>
      <c r="AW4" s="43">
        <v>116.13</v>
      </c>
      <c r="AX4" s="43">
        <v>2823.1</v>
      </c>
      <c r="AY4" s="43">
        <v>2951.33</v>
      </c>
      <c r="AZ4" s="43">
        <v>855.49</v>
      </c>
      <c r="BA4" s="43">
        <v>3438.78</v>
      </c>
      <c r="BB4" s="43">
        <v>3180.5</v>
      </c>
      <c r="BC4" s="43">
        <v>3107.53</v>
      </c>
      <c r="BD4" s="43">
        <v>3590.44</v>
      </c>
      <c r="BE4" s="43">
        <v>3522.2</v>
      </c>
      <c r="BF4" s="43">
        <v>3600.1</v>
      </c>
      <c r="BG4" s="43">
        <v>3530.84</v>
      </c>
      <c r="BH4" s="43">
        <v>2188.14</v>
      </c>
      <c r="BI4" s="43">
        <v>3457.06</v>
      </c>
      <c r="BJ4" s="43">
        <v>3464.6</v>
      </c>
      <c r="BK4" s="43">
        <v>3411.68</v>
      </c>
      <c r="BL4" s="43">
        <v>1577.59</v>
      </c>
      <c r="BM4" s="43">
        <v>3530.02</v>
      </c>
      <c r="BN4" s="43">
        <v>3482.53</v>
      </c>
    </row>
    <row r="5" spans="1:66" s="5" customFormat="1" ht="15" x14ac:dyDescent="0.3">
      <c r="A5" s="54" t="s">
        <v>117</v>
      </c>
      <c r="B5" s="43">
        <v>275.22000000000003</v>
      </c>
      <c r="C5" s="43">
        <v>2585853.5</v>
      </c>
      <c r="D5" s="43">
        <v>42200.69</v>
      </c>
      <c r="E5" s="43">
        <v>1113465.1299999999</v>
      </c>
      <c r="F5" s="43">
        <v>2039066.38</v>
      </c>
      <c r="G5" s="43">
        <v>2131500.75</v>
      </c>
      <c r="H5" s="43">
        <v>10022047</v>
      </c>
      <c r="I5" s="43">
        <v>300.87</v>
      </c>
      <c r="J5" s="43">
        <v>7505.62</v>
      </c>
      <c r="K5" s="43">
        <v>1111081.5</v>
      </c>
      <c r="L5" s="43">
        <v>2001044.75</v>
      </c>
      <c r="M5" s="43">
        <v>2232596.5</v>
      </c>
      <c r="N5" s="43">
        <v>507.9</v>
      </c>
      <c r="O5" s="43">
        <v>18305.37</v>
      </c>
      <c r="P5" s="43">
        <v>203237.05</v>
      </c>
      <c r="Q5" s="43">
        <v>387675.56</v>
      </c>
      <c r="R5" s="43">
        <v>383016.56</v>
      </c>
      <c r="S5" s="43">
        <v>381824.44</v>
      </c>
      <c r="T5" s="43">
        <v>88876.64</v>
      </c>
      <c r="U5" s="43">
        <v>246554.78</v>
      </c>
      <c r="V5" s="43">
        <v>38.21</v>
      </c>
      <c r="W5" s="43">
        <v>38.78</v>
      </c>
      <c r="X5" s="43">
        <v>149.54</v>
      </c>
      <c r="Y5" s="43">
        <v>148.25</v>
      </c>
      <c r="Z5" s="43">
        <v>84.23</v>
      </c>
      <c r="AA5" s="43">
        <v>84.94</v>
      </c>
      <c r="AB5" s="43">
        <v>341.95</v>
      </c>
      <c r="AC5" s="43">
        <v>0.19</v>
      </c>
      <c r="AD5" s="43">
        <v>-0.71</v>
      </c>
      <c r="AE5" s="43">
        <v>336.23</v>
      </c>
      <c r="AF5" s="43">
        <v>-0.01</v>
      </c>
      <c r="AG5" s="43">
        <v>66.59</v>
      </c>
      <c r="AH5" s="43">
        <v>100.78</v>
      </c>
      <c r="AI5" s="43">
        <v>104.18</v>
      </c>
      <c r="AJ5" s="43">
        <v>103.31</v>
      </c>
      <c r="AK5" s="43">
        <v>31.65</v>
      </c>
      <c r="AL5" s="43">
        <v>42.07</v>
      </c>
      <c r="AM5" s="43">
        <v>41.05</v>
      </c>
      <c r="AN5" s="43">
        <v>39.4</v>
      </c>
      <c r="AO5" s="43">
        <v>40.299999999999997</v>
      </c>
      <c r="AP5" s="43">
        <v>9526.52</v>
      </c>
      <c r="AQ5" s="43">
        <v>6.75</v>
      </c>
      <c r="AR5" s="43">
        <v>6.72</v>
      </c>
      <c r="AS5" s="43">
        <v>6.74</v>
      </c>
      <c r="AT5" s="43">
        <v>6.74</v>
      </c>
      <c r="AU5" s="43">
        <v>2932.62</v>
      </c>
      <c r="AV5" s="43">
        <v>126.32</v>
      </c>
      <c r="AW5" s="43">
        <v>116.13</v>
      </c>
      <c r="AX5" s="43">
        <v>2823.18</v>
      </c>
      <c r="AY5" s="43">
        <v>2951.33</v>
      </c>
      <c r="AZ5" s="43">
        <v>855.57</v>
      </c>
      <c r="BA5" s="43">
        <v>3438.86</v>
      </c>
      <c r="BB5" s="43">
        <v>3180.59</v>
      </c>
      <c r="BC5" s="43">
        <v>3107.62</v>
      </c>
      <c r="BD5" s="43">
        <v>3590.52</v>
      </c>
      <c r="BE5" s="43">
        <v>3522.28</v>
      </c>
      <c r="BF5" s="43">
        <v>3600.18</v>
      </c>
      <c r="BG5" s="43">
        <v>3530.92</v>
      </c>
      <c r="BH5" s="43">
        <v>2188.23</v>
      </c>
      <c r="BI5" s="43">
        <v>3457.14</v>
      </c>
      <c r="BJ5" s="43">
        <v>3464.68</v>
      </c>
      <c r="BK5" s="43">
        <v>3411.76</v>
      </c>
      <c r="BL5" s="43">
        <v>1577.67</v>
      </c>
      <c r="BM5" s="43">
        <v>3530.1</v>
      </c>
      <c r="BN5" s="43">
        <v>3482.62</v>
      </c>
    </row>
    <row r="6" spans="1:66" s="5" customFormat="1" ht="15" x14ac:dyDescent="0.3">
      <c r="A6" s="54" t="s">
        <v>118</v>
      </c>
      <c r="B6" s="43">
        <v>275.13</v>
      </c>
      <c r="C6" s="43">
        <v>2585887.75</v>
      </c>
      <c r="D6" s="43">
        <v>42200.69</v>
      </c>
      <c r="E6" s="43">
        <v>1113499.1299999999</v>
      </c>
      <c r="F6" s="43">
        <v>2039123.5</v>
      </c>
      <c r="G6" s="43">
        <v>2131560.75</v>
      </c>
      <c r="H6" s="43">
        <v>10022114</v>
      </c>
      <c r="I6" s="43">
        <v>300.87</v>
      </c>
      <c r="J6" s="43">
        <v>7505.74</v>
      </c>
      <c r="K6" s="43">
        <v>1111113.1299999999</v>
      </c>
      <c r="L6" s="43">
        <v>2001101.25</v>
      </c>
      <c r="M6" s="43">
        <v>2232664.75</v>
      </c>
      <c r="N6" s="43">
        <v>507.9</v>
      </c>
      <c r="O6" s="43">
        <v>18305.37</v>
      </c>
      <c r="P6" s="43">
        <v>203238.11</v>
      </c>
      <c r="Q6" s="43">
        <v>387678.88</v>
      </c>
      <c r="R6" s="43">
        <v>383019.34</v>
      </c>
      <c r="S6" s="43">
        <v>381827.19</v>
      </c>
      <c r="T6" s="43">
        <v>88879.22</v>
      </c>
      <c r="U6" s="43">
        <v>246555.88</v>
      </c>
      <c r="V6" s="43">
        <v>38.21</v>
      </c>
      <c r="W6" s="43">
        <v>38.78</v>
      </c>
      <c r="X6" s="43">
        <v>149.44999999999999</v>
      </c>
      <c r="Y6" s="43">
        <v>148.62</v>
      </c>
      <c r="Z6" s="43">
        <v>84.96</v>
      </c>
      <c r="AA6" s="43">
        <v>85.37</v>
      </c>
      <c r="AB6" s="43">
        <v>340.8</v>
      </c>
      <c r="AC6" s="43">
        <v>0.19</v>
      </c>
      <c r="AD6" s="43">
        <v>-0.71</v>
      </c>
      <c r="AE6" s="43">
        <v>335.59</v>
      </c>
      <c r="AF6" s="43">
        <v>-0.01</v>
      </c>
      <c r="AG6" s="43">
        <v>66.83</v>
      </c>
      <c r="AH6" s="43">
        <v>100.64</v>
      </c>
      <c r="AI6" s="43">
        <v>103.76</v>
      </c>
      <c r="AJ6" s="43">
        <v>103.07</v>
      </c>
      <c r="AK6" s="43">
        <v>31.81</v>
      </c>
      <c r="AL6" s="43">
        <v>42.3</v>
      </c>
      <c r="AM6" s="43">
        <v>40.99</v>
      </c>
      <c r="AN6" s="43">
        <v>39.36</v>
      </c>
      <c r="AO6" s="43">
        <v>38.97</v>
      </c>
      <c r="AP6" s="43">
        <v>9513.1299999999992</v>
      </c>
      <c r="AQ6" s="43">
        <v>6.75</v>
      </c>
      <c r="AR6" s="43">
        <v>6.72</v>
      </c>
      <c r="AS6" s="43">
        <v>6.74</v>
      </c>
      <c r="AT6" s="43">
        <v>6.74</v>
      </c>
      <c r="AU6" s="43">
        <v>2932.7</v>
      </c>
      <c r="AV6" s="43">
        <v>126.32</v>
      </c>
      <c r="AW6" s="43">
        <v>116.13</v>
      </c>
      <c r="AX6" s="43">
        <v>2823.26</v>
      </c>
      <c r="AY6" s="43">
        <v>2951.33</v>
      </c>
      <c r="AZ6" s="43">
        <v>855.66</v>
      </c>
      <c r="BA6" s="43">
        <v>3438.94</v>
      </c>
      <c r="BB6" s="43">
        <v>3180.67</v>
      </c>
      <c r="BC6" s="43">
        <v>3107.7</v>
      </c>
      <c r="BD6" s="43">
        <v>3590.6</v>
      </c>
      <c r="BE6" s="43">
        <v>3522.37</v>
      </c>
      <c r="BF6" s="43">
        <v>3600.27</v>
      </c>
      <c r="BG6" s="43">
        <v>3531.01</v>
      </c>
      <c r="BH6" s="43">
        <v>2188.31</v>
      </c>
      <c r="BI6" s="43">
        <v>3457.23</v>
      </c>
      <c r="BJ6" s="43">
        <v>3464.76</v>
      </c>
      <c r="BK6" s="43">
        <v>3411.84</v>
      </c>
      <c r="BL6" s="43">
        <v>1577.76</v>
      </c>
      <c r="BM6" s="43">
        <v>3530.18</v>
      </c>
      <c r="BN6" s="43">
        <v>3482.7</v>
      </c>
    </row>
    <row r="7" spans="1:66" s="5" customFormat="1" ht="15" x14ac:dyDescent="0.3">
      <c r="A7" s="54" t="s">
        <v>119</v>
      </c>
      <c r="B7" s="43">
        <v>269.33</v>
      </c>
      <c r="C7" s="43">
        <v>2585921.5</v>
      </c>
      <c r="D7" s="43">
        <v>42200.69</v>
      </c>
      <c r="E7" s="43">
        <v>1113532.25</v>
      </c>
      <c r="F7" s="43">
        <v>2039179.75</v>
      </c>
      <c r="G7" s="43">
        <v>2131619.75</v>
      </c>
      <c r="H7" s="43">
        <v>10022180</v>
      </c>
      <c r="I7" s="43">
        <v>300.87</v>
      </c>
      <c r="J7" s="43">
        <v>7505.85</v>
      </c>
      <c r="K7" s="43">
        <v>1111144.8799999999</v>
      </c>
      <c r="L7" s="43">
        <v>2001157.75</v>
      </c>
      <c r="M7" s="43">
        <v>2232731.75</v>
      </c>
      <c r="N7" s="43">
        <v>507.9</v>
      </c>
      <c r="O7" s="43">
        <v>18305.37</v>
      </c>
      <c r="P7" s="43">
        <v>203239.16</v>
      </c>
      <c r="Q7" s="43">
        <v>387682.22</v>
      </c>
      <c r="R7" s="43">
        <v>383022.66</v>
      </c>
      <c r="S7" s="43">
        <v>381830.44</v>
      </c>
      <c r="T7" s="43">
        <v>88881.87</v>
      </c>
      <c r="U7" s="43">
        <v>246557.66</v>
      </c>
      <c r="V7" s="43">
        <v>38.21</v>
      </c>
      <c r="W7" s="43">
        <v>38.78</v>
      </c>
      <c r="X7" s="43">
        <v>149.66</v>
      </c>
      <c r="Y7" s="43">
        <v>148.41999999999999</v>
      </c>
      <c r="Z7" s="43">
        <v>84.95</v>
      </c>
      <c r="AA7" s="43">
        <v>85.65</v>
      </c>
      <c r="AB7" s="43">
        <v>330.95</v>
      </c>
      <c r="AC7" s="43">
        <v>0.19</v>
      </c>
      <c r="AD7" s="43">
        <v>-0.71</v>
      </c>
      <c r="AE7" s="43">
        <v>325.02</v>
      </c>
      <c r="AF7" s="43">
        <v>-0.01</v>
      </c>
      <c r="AG7" s="43">
        <v>66.37</v>
      </c>
      <c r="AH7" s="43">
        <v>100.64</v>
      </c>
      <c r="AI7" s="43">
        <v>104.25</v>
      </c>
      <c r="AJ7" s="43">
        <v>103.45</v>
      </c>
      <c r="AK7" s="43">
        <v>31.92</v>
      </c>
      <c r="AL7" s="43">
        <v>42.27</v>
      </c>
      <c r="AM7" s="43">
        <v>40.950000000000003</v>
      </c>
      <c r="AN7" s="43">
        <v>39.4</v>
      </c>
      <c r="AO7" s="43">
        <v>39.28</v>
      </c>
      <c r="AP7" s="43">
        <v>9306.4</v>
      </c>
      <c r="AQ7" s="43">
        <v>6.75</v>
      </c>
      <c r="AR7" s="43">
        <v>6.72</v>
      </c>
      <c r="AS7" s="43">
        <v>6.74</v>
      </c>
      <c r="AT7" s="43">
        <v>6.74</v>
      </c>
      <c r="AU7" s="43">
        <v>2932.79</v>
      </c>
      <c r="AV7" s="43">
        <v>126.32</v>
      </c>
      <c r="AW7" s="43">
        <v>116.13</v>
      </c>
      <c r="AX7" s="43">
        <v>2823.35</v>
      </c>
      <c r="AY7" s="43">
        <v>2951.33</v>
      </c>
      <c r="AZ7" s="43">
        <v>855.74</v>
      </c>
      <c r="BA7" s="43">
        <v>3439.03</v>
      </c>
      <c r="BB7" s="43">
        <v>3180.75</v>
      </c>
      <c r="BC7" s="43">
        <v>3107.78</v>
      </c>
      <c r="BD7" s="43">
        <v>3590.69</v>
      </c>
      <c r="BE7" s="43">
        <v>3522.45</v>
      </c>
      <c r="BF7" s="43">
        <v>3600.35</v>
      </c>
      <c r="BG7" s="43">
        <v>3531.09</v>
      </c>
      <c r="BH7" s="43">
        <v>2188.39</v>
      </c>
      <c r="BI7" s="43">
        <v>3457.31</v>
      </c>
      <c r="BJ7" s="43">
        <v>3464.85</v>
      </c>
      <c r="BK7" s="43">
        <v>3411.93</v>
      </c>
      <c r="BL7" s="43">
        <v>1577.84</v>
      </c>
      <c r="BM7" s="43">
        <v>3530.27</v>
      </c>
      <c r="BN7" s="43">
        <v>3482.78</v>
      </c>
    </row>
    <row r="8" spans="1:66" s="5" customFormat="1" ht="15" x14ac:dyDescent="0.3">
      <c r="A8" s="54" t="s">
        <v>120</v>
      </c>
      <c r="B8" s="43">
        <v>267.52999999999997</v>
      </c>
      <c r="C8" s="43">
        <v>2585954.5</v>
      </c>
      <c r="D8" s="43">
        <v>42200.69</v>
      </c>
      <c r="E8" s="43">
        <v>1113564.75</v>
      </c>
      <c r="F8" s="43">
        <v>2039234.13</v>
      </c>
      <c r="G8" s="43">
        <v>2131677</v>
      </c>
      <c r="H8" s="43">
        <v>10022246</v>
      </c>
      <c r="I8" s="43">
        <v>300.87</v>
      </c>
      <c r="J8" s="43">
        <v>7505.97</v>
      </c>
      <c r="K8" s="43">
        <v>1111176.5</v>
      </c>
      <c r="L8" s="43">
        <v>2001214.13</v>
      </c>
      <c r="M8" s="43">
        <v>2232797.5</v>
      </c>
      <c r="N8" s="43">
        <v>507.9</v>
      </c>
      <c r="O8" s="43">
        <v>18305.37</v>
      </c>
      <c r="P8" s="43">
        <v>203240.22</v>
      </c>
      <c r="Q8" s="43">
        <v>387685.56</v>
      </c>
      <c r="R8" s="43">
        <v>383026</v>
      </c>
      <c r="S8" s="43">
        <v>381833.75</v>
      </c>
      <c r="T8" s="43">
        <v>88884.14</v>
      </c>
      <c r="U8" s="43">
        <v>246558.83</v>
      </c>
      <c r="V8" s="43">
        <v>38.21</v>
      </c>
      <c r="W8" s="43">
        <v>38.78</v>
      </c>
      <c r="X8" s="43">
        <v>149.74</v>
      </c>
      <c r="Y8" s="43">
        <v>148.36000000000001</v>
      </c>
      <c r="Z8" s="43">
        <v>84.43</v>
      </c>
      <c r="AA8" s="43">
        <v>85.71</v>
      </c>
      <c r="AB8" s="43">
        <v>326.66000000000003</v>
      </c>
      <c r="AC8" s="43">
        <v>0.19</v>
      </c>
      <c r="AD8" s="43">
        <v>-0.71</v>
      </c>
      <c r="AE8" s="43">
        <v>319.37</v>
      </c>
      <c r="AF8" s="43">
        <v>-0.01</v>
      </c>
      <c r="AG8" s="43">
        <v>65.180000000000007</v>
      </c>
      <c r="AH8" s="43">
        <v>100.64</v>
      </c>
      <c r="AI8" s="43">
        <v>104.26</v>
      </c>
      <c r="AJ8" s="43">
        <v>103.45</v>
      </c>
      <c r="AK8" s="43">
        <v>31.73</v>
      </c>
      <c r="AL8" s="43">
        <v>42.26</v>
      </c>
      <c r="AM8" s="43">
        <v>40.92</v>
      </c>
      <c r="AN8" s="43">
        <v>39.340000000000003</v>
      </c>
      <c r="AO8" s="43">
        <v>40.43</v>
      </c>
      <c r="AP8" s="43">
        <v>9261.4599999999991</v>
      </c>
      <c r="AQ8" s="43">
        <v>6.75</v>
      </c>
      <c r="AR8" s="43">
        <v>6.72</v>
      </c>
      <c r="AS8" s="43">
        <v>6.74</v>
      </c>
      <c r="AT8" s="43">
        <v>6.74</v>
      </c>
      <c r="AU8" s="43">
        <v>2932.87</v>
      </c>
      <c r="AV8" s="43">
        <v>126.32</v>
      </c>
      <c r="AW8" s="43">
        <v>116.13</v>
      </c>
      <c r="AX8" s="43">
        <v>2823.43</v>
      </c>
      <c r="AY8" s="43">
        <v>2951.33</v>
      </c>
      <c r="AZ8" s="43">
        <v>855.82</v>
      </c>
      <c r="BA8" s="43">
        <v>3439.11</v>
      </c>
      <c r="BB8" s="43">
        <v>3180.84</v>
      </c>
      <c r="BC8" s="43">
        <v>3107.87</v>
      </c>
      <c r="BD8" s="43">
        <v>3590.77</v>
      </c>
      <c r="BE8" s="43">
        <v>3522.53</v>
      </c>
      <c r="BF8" s="43">
        <v>3600.43</v>
      </c>
      <c r="BG8" s="43">
        <v>3531.17</v>
      </c>
      <c r="BH8" s="43">
        <v>2188.48</v>
      </c>
      <c r="BI8" s="43">
        <v>3457.39</v>
      </c>
      <c r="BJ8" s="43">
        <v>3464.93</v>
      </c>
      <c r="BK8" s="43">
        <v>3412.01</v>
      </c>
      <c r="BL8" s="43">
        <v>1577.92</v>
      </c>
      <c r="BM8" s="43">
        <v>3530.35</v>
      </c>
      <c r="BN8" s="43">
        <v>3482.87</v>
      </c>
    </row>
    <row r="9" spans="1:66" s="5" customFormat="1" ht="15" x14ac:dyDescent="0.3">
      <c r="A9" s="54" t="s">
        <v>121</v>
      </c>
      <c r="B9" s="43">
        <v>271.32</v>
      </c>
      <c r="C9" s="43">
        <v>2585988.25</v>
      </c>
      <c r="D9" s="43">
        <v>42200.69</v>
      </c>
      <c r="E9" s="43">
        <v>1113597.8799999999</v>
      </c>
      <c r="F9" s="43">
        <v>2039289.75</v>
      </c>
      <c r="G9" s="43">
        <v>2131736.75</v>
      </c>
      <c r="H9" s="43">
        <v>10022312</v>
      </c>
      <c r="I9" s="43">
        <v>300.87</v>
      </c>
      <c r="J9" s="43">
        <v>7506.08</v>
      </c>
      <c r="K9" s="43">
        <v>1111208</v>
      </c>
      <c r="L9" s="43">
        <v>2001270.5</v>
      </c>
      <c r="M9" s="43">
        <v>2232864.5</v>
      </c>
      <c r="N9" s="43">
        <v>507.9</v>
      </c>
      <c r="O9" s="43">
        <v>18305.37</v>
      </c>
      <c r="P9" s="43">
        <v>203241.16</v>
      </c>
      <c r="Q9" s="43">
        <v>387688.91</v>
      </c>
      <c r="R9" s="43">
        <v>383028.81</v>
      </c>
      <c r="S9" s="43">
        <v>381836.5</v>
      </c>
      <c r="T9" s="43">
        <v>88886.99</v>
      </c>
      <c r="U9" s="43">
        <v>246559.08</v>
      </c>
      <c r="V9" s="43">
        <v>38.06</v>
      </c>
      <c r="W9" s="43">
        <v>38.65</v>
      </c>
      <c r="X9" s="43">
        <v>149.27000000000001</v>
      </c>
      <c r="Y9" s="43">
        <v>148.16</v>
      </c>
      <c r="Z9" s="43">
        <v>84.35</v>
      </c>
      <c r="AA9" s="43">
        <v>85.35</v>
      </c>
      <c r="AB9" s="43">
        <v>335.59</v>
      </c>
      <c r="AC9" s="43">
        <v>0.19</v>
      </c>
      <c r="AD9" s="43">
        <v>-0.71</v>
      </c>
      <c r="AE9" s="43">
        <v>328.86</v>
      </c>
      <c r="AF9" s="43">
        <v>-0.01</v>
      </c>
      <c r="AG9" s="43">
        <v>66.709999999999994</v>
      </c>
      <c r="AH9" s="43">
        <v>100.64</v>
      </c>
      <c r="AI9" s="43">
        <v>104.26</v>
      </c>
      <c r="AJ9" s="43">
        <v>103.17</v>
      </c>
      <c r="AK9" s="43">
        <v>31.53</v>
      </c>
      <c r="AL9" s="43">
        <v>42.48</v>
      </c>
      <c r="AM9" s="43">
        <v>40.98</v>
      </c>
      <c r="AN9" s="43">
        <v>39.369999999999997</v>
      </c>
      <c r="AO9" s="43">
        <v>40.39</v>
      </c>
      <c r="AP9" s="43">
        <v>9394.57</v>
      </c>
      <c r="AQ9" s="43">
        <v>6.75</v>
      </c>
      <c r="AR9" s="43">
        <v>6.72</v>
      </c>
      <c r="AS9" s="43">
        <v>6.74</v>
      </c>
      <c r="AT9" s="43">
        <v>6.74</v>
      </c>
      <c r="AU9" s="43">
        <v>2932.95</v>
      </c>
      <c r="AV9" s="43">
        <v>126.32</v>
      </c>
      <c r="AW9" s="43">
        <v>116.13</v>
      </c>
      <c r="AX9" s="43">
        <v>2823.51</v>
      </c>
      <c r="AY9" s="43">
        <v>2951.33</v>
      </c>
      <c r="AZ9" s="43">
        <v>855.91</v>
      </c>
      <c r="BA9" s="43">
        <v>3439.19</v>
      </c>
      <c r="BB9" s="43">
        <v>3180.92</v>
      </c>
      <c r="BC9" s="43">
        <v>3107.95</v>
      </c>
      <c r="BD9" s="43">
        <v>3590.85</v>
      </c>
      <c r="BE9" s="43">
        <v>3522.62</v>
      </c>
      <c r="BF9" s="43">
        <v>3600.52</v>
      </c>
      <c r="BG9" s="43">
        <v>3531.26</v>
      </c>
      <c r="BH9" s="43">
        <v>2188.56</v>
      </c>
      <c r="BI9" s="43">
        <v>3457.48</v>
      </c>
      <c r="BJ9" s="43">
        <v>3465.01</v>
      </c>
      <c r="BK9" s="43">
        <v>3412.09</v>
      </c>
      <c r="BL9" s="43">
        <v>1578.01</v>
      </c>
      <c r="BM9" s="43">
        <v>3530.43</v>
      </c>
      <c r="BN9" s="43">
        <v>3482.95</v>
      </c>
    </row>
    <row r="10" spans="1:66" s="5" customFormat="1" ht="15" x14ac:dyDescent="0.3">
      <c r="A10" s="54" t="s">
        <v>122</v>
      </c>
      <c r="B10" s="43">
        <v>271.57</v>
      </c>
      <c r="C10" s="43">
        <v>2586022.25</v>
      </c>
      <c r="D10" s="43">
        <v>42200.69</v>
      </c>
      <c r="E10" s="43">
        <v>1113631.3799999999</v>
      </c>
      <c r="F10" s="43">
        <v>2039346.25</v>
      </c>
      <c r="G10" s="43">
        <v>2131796.25</v>
      </c>
      <c r="H10" s="43">
        <v>10022379</v>
      </c>
      <c r="I10" s="43">
        <v>300.87</v>
      </c>
      <c r="J10" s="43">
        <v>7506.2</v>
      </c>
      <c r="K10" s="43">
        <v>1111237.3799999999</v>
      </c>
      <c r="L10" s="43">
        <v>2001326.88</v>
      </c>
      <c r="M10" s="43">
        <v>2232931.75</v>
      </c>
      <c r="N10" s="43">
        <v>507.9</v>
      </c>
      <c r="O10" s="43">
        <v>18305.37</v>
      </c>
      <c r="P10" s="43">
        <v>203241.16</v>
      </c>
      <c r="Q10" s="43">
        <v>387692.47</v>
      </c>
      <c r="R10" s="43">
        <v>383032.19</v>
      </c>
      <c r="S10" s="43">
        <v>381839.97</v>
      </c>
      <c r="T10" s="43">
        <v>88890.15</v>
      </c>
      <c r="U10" s="43">
        <v>246560.56</v>
      </c>
      <c r="V10" s="43">
        <v>37.700000000000003</v>
      </c>
      <c r="W10" s="43">
        <v>38.270000000000003</v>
      </c>
      <c r="X10" s="43">
        <v>147.49</v>
      </c>
      <c r="Y10" s="43">
        <v>146.41999999999999</v>
      </c>
      <c r="Z10" s="43">
        <v>81.93</v>
      </c>
      <c r="AA10" s="43">
        <v>82.65</v>
      </c>
      <c r="AB10" s="43">
        <v>336.92</v>
      </c>
      <c r="AC10" s="43">
        <v>0.19</v>
      </c>
      <c r="AD10" s="43">
        <v>-0.71</v>
      </c>
      <c r="AE10" s="43">
        <v>330.84</v>
      </c>
      <c r="AF10" s="43">
        <v>-0.01</v>
      </c>
      <c r="AG10" s="43">
        <v>66.34</v>
      </c>
      <c r="AH10" s="43">
        <v>100.64</v>
      </c>
      <c r="AI10" s="43">
        <v>104.26</v>
      </c>
      <c r="AJ10" s="43">
        <v>102.89</v>
      </c>
      <c r="AK10" s="43">
        <v>29.21</v>
      </c>
      <c r="AL10" s="43">
        <v>43.36</v>
      </c>
      <c r="AM10" s="43">
        <v>42</v>
      </c>
      <c r="AN10" s="43">
        <v>40.46</v>
      </c>
      <c r="AO10" s="43">
        <v>41.3</v>
      </c>
      <c r="AP10" s="43">
        <v>9409.64</v>
      </c>
      <c r="AQ10" s="43">
        <v>6.75</v>
      </c>
      <c r="AR10" s="43">
        <v>6.72</v>
      </c>
      <c r="AS10" s="43">
        <v>6.74</v>
      </c>
      <c r="AT10" s="43">
        <v>6.74</v>
      </c>
      <c r="AU10" s="43">
        <v>2933.04</v>
      </c>
      <c r="AV10" s="43">
        <v>126.32</v>
      </c>
      <c r="AW10" s="43">
        <v>116.13</v>
      </c>
      <c r="AX10" s="43">
        <v>2823.6</v>
      </c>
      <c r="AY10" s="43">
        <v>2951.33</v>
      </c>
      <c r="AZ10" s="43">
        <v>855.99</v>
      </c>
      <c r="BA10" s="43">
        <v>3439.28</v>
      </c>
      <c r="BB10" s="43">
        <v>3181</v>
      </c>
      <c r="BC10" s="43">
        <v>3108.03</v>
      </c>
      <c r="BD10" s="43">
        <v>3590.94</v>
      </c>
      <c r="BE10" s="43">
        <v>3522.7</v>
      </c>
      <c r="BF10" s="43">
        <v>3600.6</v>
      </c>
      <c r="BG10" s="43">
        <v>3531.34</v>
      </c>
      <c r="BH10" s="43">
        <v>2188.64</v>
      </c>
      <c r="BI10" s="43">
        <v>3457.56</v>
      </c>
      <c r="BJ10" s="43">
        <v>3465.1</v>
      </c>
      <c r="BK10" s="43">
        <v>3412.18</v>
      </c>
      <c r="BL10" s="43">
        <v>1578.09</v>
      </c>
      <c r="BM10" s="43">
        <v>3530.52</v>
      </c>
      <c r="BN10" s="43">
        <v>3483.03</v>
      </c>
    </row>
    <row r="11" spans="1:66" s="5" customFormat="1" ht="15" x14ac:dyDescent="0.3">
      <c r="A11" s="54" t="s">
        <v>123</v>
      </c>
      <c r="B11" s="43">
        <v>278.33</v>
      </c>
      <c r="C11" s="43">
        <v>2586057</v>
      </c>
      <c r="D11" s="43">
        <v>42200.69</v>
      </c>
      <c r="E11" s="43">
        <v>1113665.75</v>
      </c>
      <c r="F11" s="43">
        <v>2039403.38</v>
      </c>
      <c r="G11" s="43">
        <v>2131856</v>
      </c>
      <c r="H11" s="43">
        <v>10022447</v>
      </c>
      <c r="I11" s="43">
        <v>300.87</v>
      </c>
      <c r="J11" s="43">
        <v>7506.31</v>
      </c>
      <c r="K11" s="43">
        <v>1111266.1299999999</v>
      </c>
      <c r="L11" s="43">
        <v>2001383.13</v>
      </c>
      <c r="M11" s="43">
        <v>2233001</v>
      </c>
      <c r="N11" s="43">
        <v>507.9</v>
      </c>
      <c r="O11" s="43">
        <v>18305.37</v>
      </c>
      <c r="P11" s="43">
        <v>203241.16</v>
      </c>
      <c r="Q11" s="43">
        <v>387695.81</v>
      </c>
      <c r="R11" s="43">
        <v>383035.56</v>
      </c>
      <c r="S11" s="43">
        <v>381843.34</v>
      </c>
      <c r="T11" s="43">
        <v>88892.45</v>
      </c>
      <c r="U11" s="43">
        <v>246562.23</v>
      </c>
      <c r="V11" s="43">
        <v>37.700000000000003</v>
      </c>
      <c r="W11" s="43">
        <v>38.270000000000003</v>
      </c>
      <c r="X11" s="43">
        <v>144.43</v>
      </c>
      <c r="Y11" s="43">
        <v>142.81</v>
      </c>
      <c r="Z11" s="43">
        <v>80.12</v>
      </c>
      <c r="AA11" s="43">
        <v>80.33</v>
      </c>
      <c r="AB11" s="43">
        <v>345.4</v>
      </c>
      <c r="AC11" s="43">
        <v>0.19</v>
      </c>
      <c r="AD11" s="43">
        <v>-0.71</v>
      </c>
      <c r="AE11" s="43">
        <v>340.36</v>
      </c>
      <c r="AF11" s="43">
        <v>-0.01</v>
      </c>
      <c r="AG11" s="43">
        <v>66.58</v>
      </c>
      <c r="AH11" s="43">
        <v>100.64</v>
      </c>
      <c r="AI11" s="43">
        <v>104.26</v>
      </c>
      <c r="AJ11" s="43">
        <v>102.89</v>
      </c>
      <c r="AK11" s="43">
        <v>29.16</v>
      </c>
      <c r="AL11" s="43">
        <v>42.77</v>
      </c>
      <c r="AM11" s="43">
        <v>42.15</v>
      </c>
      <c r="AN11" s="43">
        <v>40.68</v>
      </c>
      <c r="AO11" s="43">
        <v>40.69</v>
      </c>
      <c r="AP11" s="43">
        <v>9646.61</v>
      </c>
      <c r="AQ11" s="43">
        <v>6.75</v>
      </c>
      <c r="AR11" s="43">
        <v>6.72</v>
      </c>
      <c r="AS11" s="43">
        <v>6.74</v>
      </c>
      <c r="AT11" s="43">
        <v>6.74</v>
      </c>
      <c r="AU11" s="43">
        <v>2933.12</v>
      </c>
      <c r="AV11" s="43">
        <v>126.32</v>
      </c>
      <c r="AW11" s="43">
        <v>116.13</v>
      </c>
      <c r="AX11" s="43">
        <v>2823.68</v>
      </c>
      <c r="AY11" s="43">
        <v>2951.33</v>
      </c>
      <c r="AZ11" s="43">
        <v>856.07</v>
      </c>
      <c r="BA11" s="43">
        <v>3439.36</v>
      </c>
      <c r="BB11" s="43">
        <v>3181.09</v>
      </c>
      <c r="BC11" s="43">
        <v>3108.12</v>
      </c>
      <c r="BD11" s="43">
        <v>3591.02</v>
      </c>
      <c r="BE11" s="43">
        <v>3522.78</v>
      </c>
      <c r="BF11" s="43">
        <v>3600.68</v>
      </c>
      <c r="BG11" s="43">
        <v>3531.42</v>
      </c>
      <c r="BH11" s="43">
        <v>2188.73</v>
      </c>
      <c r="BI11" s="43">
        <v>3457.64</v>
      </c>
      <c r="BJ11" s="43">
        <v>3465.18</v>
      </c>
      <c r="BK11" s="43">
        <v>3412.26</v>
      </c>
      <c r="BL11" s="43">
        <v>1578.17</v>
      </c>
      <c r="BM11" s="43">
        <v>3530.6</v>
      </c>
      <c r="BN11" s="43">
        <v>3483.12</v>
      </c>
    </row>
    <row r="12" spans="1:66" s="5" customFormat="1" ht="15" x14ac:dyDescent="0.3">
      <c r="A12" s="54" t="s">
        <v>124</v>
      </c>
      <c r="B12" s="43">
        <v>273.12</v>
      </c>
      <c r="C12" s="43">
        <v>2586091</v>
      </c>
      <c r="D12" s="43">
        <v>42200.69</v>
      </c>
      <c r="E12" s="43">
        <v>1113699.5</v>
      </c>
      <c r="F12" s="43">
        <v>2039460.63</v>
      </c>
      <c r="G12" s="43">
        <v>2131916</v>
      </c>
      <c r="H12" s="43">
        <v>10022515</v>
      </c>
      <c r="I12" s="43">
        <v>300.87</v>
      </c>
      <c r="J12" s="43">
        <v>7506.43</v>
      </c>
      <c r="K12" s="43">
        <v>1111294.8799999999</v>
      </c>
      <c r="L12" s="43">
        <v>2001439</v>
      </c>
      <c r="M12" s="43">
        <v>2233069</v>
      </c>
      <c r="N12" s="43">
        <v>507.9</v>
      </c>
      <c r="O12" s="43">
        <v>18305.37</v>
      </c>
      <c r="P12" s="43">
        <v>203241.16</v>
      </c>
      <c r="Q12" s="43">
        <v>387699.16</v>
      </c>
      <c r="R12" s="43">
        <v>383039.44</v>
      </c>
      <c r="S12" s="43">
        <v>381846.72</v>
      </c>
      <c r="T12" s="43">
        <v>88895.3</v>
      </c>
      <c r="U12" s="43">
        <v>246562.84</v>
      </c>
      <c r="V12" s="43">
        <v>37.700000000000003</v>
      </c>
      <c r="W12" s="43">
        <v>38.270000000000003</v>
      </c>
      <c r="X12" s="43">
        <v>143.85</v>
      </c>
      <c r="Y12" s="43">
        <v>142.4</v>
      </c>
      <c r="Z12" s="43">
        <v>80.06</v>
      </c>
      <c r="AA12" s="43">
        <v>80.33</v>
      </c>
      <c r="AB12" s="43">
        <v>337.63</v>
      </c>
      <c r="AC12" s="43">
        <v>0.19</v>
      </c>
      <c r="AD12" s="43">
        <v>-0.71</v>
      </c>
      <c r="AE12" s="43">
        <v>332.31</v>
      </c>
      <c r="AF12" s="43">
        <v>-0.01</v>
      </c>
      <c r="AG12" s="43">
        <v>66.569999999999993</v>
      </c>
      <c r="AH12" s="43">
        <v>100.49</v>
      </c>
      <c r="AI12" s="43">
        <v>103.85</v>
      </c>
      <c r="AJ12" s="43">
        <v>102.89</v>
      </c>
      <c r="AK12" s="43">
        <v>29.16</v>
      </c>
      <c r="AL12" s="43">
        <v>42.52</v>
      </c>
      <c r="AM12" s="43">
        <v>42.2</v>
      </c>
      <c r="AN12" s="43">
        <v>40.53</v>
      </c>
      <c r="AO12" s="43">
        <v>40.340000000000003</v>
      </c>
      <c r="AP12" s="43">
        <v>9468.76</v>
      </c>
      <c r="AQ12" s="43">
        <v>6.75</v>
      </c>
      <c r="AR12" s="43">
        <v>6.72</v>
      </c>
      <c r="AS12" s="43">
        <v>6.74</v>
      </c>
      <c r="AT12" s="43">
        <v>6.74</v>
      </c>
      <c r="AU12" s="43">
        <v>2933.2</v>
      </c>
      <c r="AV12" s="43">
        <v>126.32</v>
      </c>
      <c r="AW12" s="43">
        <v>116.13</v>
      </c>
      <c r="AX12" s="43">
        <v>2823.76</v>
      </c>
      <c r="AY12" s="43">
        <v>2951.33</v>
      </c>
      <c r="AZ12" s="43">
        <v>856.16</v>
      </c>
      <c r="BA12" s="43">
        <v>3439.44</v>
      </c>
      <c r="BB12" s="43">
        <v>3181.17</v>
      </c>
      <c r="BC12" s="43">
        <v>3108.2</v>
      </c>
      <c r="BD12" s="43">
        <v>3591.1</v>
      </c>
      <c r="BE12" s="43">
        <v>3522.87</v>
      </c>
      <c r="BF12" s="43">
        <v>3600.77</v>
      </c>
      <c r="BG12" s="43">
        <v>3531.51</v>
      </c>
      <c r="BH12" s="43">
        <v>2188.81</v>
      </c>
      <c r="BI12" s="43">
        <v>3457.73</v>
      </c>
      <c r="BJ12" s="43">
        <v>3465.26</v>
      </c>
      <c r="BK12" s="43">
        <v>3412.34</v>
      </c>
      <c r="BL12" s="43">
        <v>1578.26</v>
      </c>
      <c r="BM12" s="43">
        <v>3530.68</v>
      </c>
      <c r="BN12" s="43">
        <v>3483.2</v>
      </c>
    </row>
    <row r="13" spans="1:66" s="5" customFormat="1" ht="15" x14ac:dyDescent="0.3">
      <c r="A13" s="54" t="s">
        <v>125</v>
      </c>
      <c r="B13" s="43">
        <v>272.37</v>
      </c>
      <c r="C13" s="43">
        <v>2586124.75</v>
      </c>
      <c r="D13" s="43">
        <v>42200.69</v>
      </c>
      <c r="E13" s="43">
        <v>1113732.75</v>
      </c>
      <c r="F13" s="43">
        <v>2039516.38</v>
      </c>
      <c r="G13" s="43">
        <v>2131974.75</v>
      </c>
      <c r="H13" s="43">
        <v>10022581</v>
      </c>
      <c r="I13" s="43">
        <v>300.87</v>
      </c>
      <c r="J13" s="43">
        <v>7506.54</v>
      </c>
      <c r="K13" s="43">
        <v>1111322.6299999999</v>
      </c>
      <c r="L13" s="43">
        <v>2001495.13</v>
      </c>
      <c r="M13" s="43">
        <v>2233136</v>
      </c>
      <c r="N13" s="43">
        <v>507.9</v>
      </c>
      <c r="O13" s="43">
        <v>18305.37</v>
      </c>
      <c r="P13" s="43">
        <v>203241.16</v>
      </c>
      <c r="Q13" s="43">
        <v>387702.47</v>
      </c>
      <c r="R13" s="43">
        <v>383042.31</v>
      </c>
      <c r="S13" s="43">
        <v>381850.09</v>
      </c>
      <c r="T13" s="43">
        <v>88898.13</v>
      </c>
      <c r="U13" s="43">
        <v>246563.92</v>
      </c>
      <c r="V13" s="43">
        <v>37.700000000000003</v>
      </c>
      <c r="W13" s="43">
        <v>38.270000000000003</v>
      </c>
      <c r="X13" s="43">
        <v>143.32</v>
      </c>
      <c r="Y13" s="43">
        <v>142.21</v>
      </c>
      <c r="Z13" s="43">
        <v>79.75</v>
      </c>
      <c r="AA13" s="43">
        <v>80.06</v>
      </c>
      <c r="AB13" s="43">
        <v>334.65</v>
      </c>
      <c r="AC13" s="43">
        <v>0.19</v>
      </c>
      <c r="AD13" s="43">
        <v>-0.71</v>
      </c>
      <c r="AE13" s="43">
        <v>328.82</v>
      </c>
      <c r="AF13" s="43">
        <v>-0.01</v>
      </c>
      <c r="AG13" s="43">
        <v>65.91</v>
      </c>
      <c r="AH13" s="43">
        <v>100.14</v>
      </c>
      <c r="AI13" s="43">
        <v>103.75</v>
      </c>
      <c r="AJ13" s="43">
        <v>102.89</v>
      </c>
      <c r="AK13" s="43">
        <v>17.420000000000002</v>
      </c>
      <c r="AL13" s="43">
        <v>42.54</v>
      </c>
      <c r="AM13" s="43">
        <v>42.18</v>
      </c>
      <c r="AN13" s="43">
        <v>40.4</v>
      </c>
      <c r="AO13" s="43">
        <v>40.229999999999997</v>
      </c>
      <c r="AP13" s="43">
        <v>9445.68</v>
      </c>
      <c r="AQ13" s="43">
        <v>6.75</v>
      </c>
      <c r="AR13" s="43">
        <v>6.72</v>
      </c>
      <c r="AS13" s="43">
        <v>6.74</v>
      </c>
      <c r="AT13" s="43">
        <v>6.74</v>
      </c>
      <c r="AU13" s="43">
        <v>2933.29</v>
      </c>
      <c r="AV13" s="43">
        <v>126.32</v>
      </c>
      <c r="AW13" s="43">
        <v>116.13</v>
      </c>
      <c r="AX13" s="43">
        <v>2823.85</v>
      </c>
      <c r="AY13" s="43">
        <v>2951.33</v>
      </c>
      <c r="AZ13" s="43">
        <v>856.24</v>
      </c>
      <c r="BA13" s="43">
        <v>3439.53</v>
      </c>
      <c r="BB13" s="43">
        <v>3181.25</v>
      </c>
      <c r="BC13" s="43">
        <v>3108.28</v>
      </c>
      <c r="BD13" s="43">
        <v>3591.19</v>
      </c>
      <c r="BE13" s="43">
        <v>3522.95</v>
      </c>
      <c r="BF13" s="43">
        <v>3600.85</v>
      </c>
      <c r="BG13" s="43">
        <v>3531.59</v>
      </c>
      <c r="BH13" s="43">
        <v>2188.89</v>
      </c>
      <c r="BI13" s="43">
        <v>3457.81</v>
      </c>
      <c r="BJ13" s="43">
        <v>3465.35</v>
      </c>
      <c r="BK13" s="43">
        <v>3412.43</v>
      </c>
      <c r="BL13" s="43">
        <v>1578.34</v>
      </c>
      <c r="BM13" s="43">
        <v>3530.77</v>
      </c>
      <c r="BN13" s="43">
        <v>3483.28</v>
      </c>
    </row>
    <row r="14" spans="1:66" s="5" customFormat="1" ht="15" x14ac:dyDescent="0.3">
      <c r="A14" s="54" t="s">
        <v>126</v>
      </c>
      <c r="B14" s="43">
        <v>272.54000000000002</v>
      </c>
      <c r="C14" s="43">
        <v>2586159</v>
      </c>
      <c r="D14" s="43">
        <v>42200.69</v>
      </c>
      <c r="E14" s="43">
        <v>1113766.5</v>
      </c>
      <c r="F14" s="43">
        <v>2039572.88</v>
      </c>
      <c r="G14" s="43">
        <v>2132034</v>
      </c>
      <c r="H14" s="43">
        <v>10022648</v>
      </c>
      <c r="I14" s="43">
        <v>300.87</v>
      </c>
      <c r="J14" s="43">
        <v>7506.66</v>
      </c>
      <c r="K14" s="43">
        <v>1111348.3799999999</v>
      </c>
      <c r="L14" s="43">
        <v>2001551.13</v>
      </c>
      <c r="M14" s="43">
        <v>2233203.75</v>
      </c>
      <c r="N14" s="43">
        <v>507.9</v>
      </c>
      <c r="O14" s="43">
        <v>18305.37</v>
      </c>
      <c r="P14" s="43">
        <v>203241.16</v>
      </c>
      <c r="Q14" s="43">
        <v>387705.81</v>
      </c>
      <c r="R14" s="43">
        <v>383046.19</v>
      </c>
      <c r="S14" s="43">
        <v>381853.38</v>
      </c>
      <c r="T14" s="43">
        <v>88900.34</v>
      </c>
      <c r="U14" s="43">
        <v>246564.53</v>
      </c>
      <c r="V14" s="43">
        <v>37.700000000000003</v>
      </c>
      <c r="W14" s="43">
        <v>38.270000000000003</v>
      </c>
      <c r="X14" s="43">
        <v>141.27000000000001</v>
      </c>
      <c r="Y14" s="43">
        <v>140.21</v>
      </c>
      <c r="Z14" s="43">
        <v>77.78</v>
      </c>
      <c r="AA14" s="43">
        <v>78.290000000000006</v>
      </c>
      <c r="AB14" s="43">
        <v>337.72</v>
      </c>
      <c r="AC14" s="43">
        <v>0.19</v>
      </c>
      <c r="AD14" s="43">
        <v>-0.71</v>
      </c>
      <c r="AE14" s="43">
        <v>331.97</v>
      </c>
      <c r="AF14" s="43">
        <v>-0.01</v>
      </c>
      <c r="AG14" s="43">
        <v>66.180000000000007</v>
      </c>
      <c r="AH14" s="43">
        <v>100.19</v>
      </c>
      <c r="AI14" s="43">
        <v>103.87</v>
      </c>
      <c r="AJ14" s="43">
        <v>102.91</v>
      </c>
      <c r="AK14" s="43">
        <v>0.01</v>
      </c>
      <c r="AL14" s="43">
        <v>42.49</v>
      </c>
      <c r="AM14" s="43">
        <v>42.21</v>
      </c>
      <c r="AN14" s="43">
        <v>40.54</v>
      </c>
      <c r="AO14" s="43">
        <v>39.840000000000003</v>
      </c>
      <c r="AP14" s="43">
        <v>9443.89</v>
      </c>
      <c r="AQ14" s="43">
        <v>6.75</v>
      </c>
      <c r="AR14" s="43">
        <v>6.72</v>
      </c>
      <c r="AS14" s="43">
        <v>6.74</v>
      </c>
      <c r="AT14" s="43">
        <v>6.74</v>
      </c>
      <c r="AU14" s="43">
        <v>2933.37</v>
      </c>
      <c r="AV14" s="43">
        <v>126.32</v>
      </c>
      <c r="AW14" s="43">
        <v>116.13</v>
      </c>
      <c r="AX14" s="43">
        <v>2823.93</v>
      </c>
      <c r="AY14" s="43">
        <v>2951.33</v>
      </c>
      <c r="AZ14" s="43">
        <v>856.32</v>
      </c>
      <c r="BA14" s="43">
        <v>3439.61</v>
      </c>
      <c r="BB14" s="43">
        <v>3181.34</v>
      </c>
      <c r="BC14" s="43">
        <v>3108.37</v>
      </c>
      <c r="BD14" s="43">
        <v>3591.27</v>
      </c>
      <c r="BE14" s="43">
        <v>3523.03</v>
      </c>
      <c r="BF14" s="43">
        <v>3600.93</v>
      </c>
      <c r="BG14" s="43">
        <v>3531.67</v>
      </c>
      <c r="BH14" s="43">
        <v>2188.9</v>
      </c>
      <c r="BI14" s="43">
        <v>3457.89</v>
      </c>
      <c r="BJ14" s="43">
        <v>3465.43</v>
      </c>
      <c r="BK14" s="43">
        <v>3412.51</v>
      </c>
      <c r="BL14" s="43">
        <v>1578.42</v>
      </c>
      <c r="BM14" s="43">
        <v>3530.85</v>
      </c>
      <c r="BN14" s="43">
        <v>3483.37</v>
      </c>
    </row>
    <row r="15" spans="1:66" s="5" customFormat="1" ht="15" x14ac:dyDescent="0.3">
      <c r="A15" s="54" t="s">
        <v>127</v>
      </c>
      <c r="B15" s="43">
        <v>267.27999999999997</v>
      </c>
      <c r="C15" s="43">
        <v>2586192.5</v>
      </c>
      <c r="D15" s="43">
        <v>42200.69</v>
      </c>
      <c r="E15" s="43">
        <v>1113799.5</v>
      </c>
      <c r="F15" s="43">
        <v>2039628.88</v>
      </c>
      <c r="G15" s="43">
        <v>2132092.75</v>
      </c>
      <c r="H15" s="43">
        <v>10022714</v>
      </c>
      <c r="I15" s="43">
        <v>300.87</v>
      </c>
      <c r="J15" s="43">
        <v>7506.78</v>
      </c>
      <c r="K15" s="43">
        <v>1111374.1299999999</v>
      </c>
      <c r="L15" s="43">
        <v>2001607.13</v>
      </c>
      <c r="M15" s="43">
        <v>2233270.25</v>
      </c>
      <c r="N15" s="43">
        <v>507.9</v>
      </c>
      <c r="O15" s="43">
        <v>18305.37</v>
      </c>
      <c r="P15" s="43">
        <v>203241.16</v>
      </c>
      <c r="Q15" s="43">
        <v>387709.16</v>
      </c>
      <c r="R15" s="43">
        <v>383049.47</v>
      </c>
      <c r="S15" s="43">
        <v>381857</v>
      </c>
      <c r="T15" s="43">
        <v>88903.02</v>
      </c>
      <c r="U15" s="43">
        <v>246565.48</v>
      </c>
      <c r="V15" s="43">
        <v>37.770000000000003</v>
      </c>
      <c r="W15" s="43">
        <v>38.299999999999997</v>
      </c>
      <c r="X15" s="43">
        <v>140.28</v>
      </c>
      <c r="Y15" s="43">
        <v>139.12</v>
      </c>
      <c r="Z15" s="43">
        <v>77.89</v>
      </c>
      <c r="AA15" s="43">
        <v>78.11</v>
      </c>
      <c r="AB15" s="43">
        <v>328.32</v>
      </c>
      <c r="AC15" s="43">
        <v>0.19</v>
      </c>
      <c r="AD15" s="43">
        <v>-0.71</v>
      </c>
      <c r="AE15" s="43">
        <v>322.27999999999997</v>
      </c>
      <c r="AF15" s="43">
        <v>-0.01</v>
      </c>
      <c r="AG15" s="43">
        <v>65.87</v>
      </c>
      <c r="AH15" s="43">
        <v>100.58</v>
      </c>
      <c r="AI15" s="43">
        <v>104.2</v>
      </c>
      <c r="AJ15" s="43">
        <v>103.34</v>
      </c>
      <c r="AK15" s="43">
        <v>-0.01</v>
      </c>
      <c r="AL15" s="43">
        <v>42.49</v>
      </c>
      <c r="AM15" s="43">
        <v>42.32</v>
      </c>
      <c r="AN15" s="43">
        <v>40.72</v>
      </c>
      <c r="AO15" s="43">
        <v>39.81</v>
      </c>
      <c r="AP15" s="43">
        <v>9249.84</v>
      </c>
      <c r="AQ15" s="43">
        <v>6.77</v>
      </c>
      <c r="AR15" s="43">
        <v>6.73</v>
      </c>
      <c r="AS15" s="43">
        <v>6.76</v>
      </c>
      <c r="AT15" s="43">
        <v>6.76</v>
      </c>
      <c r="AU15" s="43">
        <v>2933.45</v>
      </c>
      <c r="AV15" s="43">
        <v>126.32</v>
      </c>
      <c r="AW15" s="43">
        <v>116.13</v>
      </c>
      <c r="AX15" s="43">
        <v>2824.01</v>
      </c>
      <c r="AY15" s="43">
        <v>2951.33</v>
      </c>
      <c r="AZ15" s="43">
        <v>856.41</v>
      </c>
      <c r="BA15" s="43">
        <v>3439.69</v>
      </c>
      <c r="BB15" s="43">
        <v>3181.42</v>
      </c>
      <c r="BC15" s="43">
        <v>3108.45</v>
      </c>
      <c r="BD15" s="43">
        <v>3591.35</v>
      </c>
      <c r="BE15" s="43">
        <v>3523.12</v>
      </c>
      <c r="BF15" s="43">
        <v>3601.02</v>
      </c>
      <c r="BG15" s="43">
        <v>3531.76</v>
      </c>
      <c r="BH15" s="43">
        <v>2188.9</v>
      </c>
      <c r="BI15" s="43">
        <v>3457.98</v>
      </c>
      <c r="BJ15" s="43">
        <v>3465.51</v>
      </c>
      <c r="BK15" s="43">
        <v>3412.59</v>
      </c>
      <c r="BL15" s="43">
        <v>1578.51</v>
      </c>
      <c r="BM15" s="43">
        <v>3530.93</v>
      </c>
      <c r="BN15" s="43">
        <v>3483.45</v>
      </c>
    </row>
    <row r="16" spans="1:66" s="5" customFormat="1" ht="15" x14ac:dyDescent="0.3">
      <c r="A16" s="54" t="s">
        <v>128</v>
      </c>
      <c r="B16" s="43">
        <v>267.51</v>
      </c>
      <c r="C16" s="43">
        <v>2586225.5</v>
      </c>
      <c r="D16" s="43">
        <v>42200.69</v>
      </c>
      <c r="E16" s="43">
        <v>1113831.8799999999</v>
      </c>
      <c r="F16" s="43">
        <v>2039683</v>
      </c>
      <c r="G16" s="43">
        <v>2132149.75</v>
      </c>
      <c r="H16" s="43">
        <v>10022779</v>
      </c>
      <c r="I16" s="43">
        <v>300.87</v>
      </c>
      <c r="J16" s="43">
        <v>7506.89</v>
      </c>
      <c r="K16" s="43">
        <v>1111399.75</v>
      </c>
      <c r="L16" s="43">
        <v>2001663</v>
      </c>
      <c r="M16" s="43">
        <v>2233335.75</v>
      </c>
      <c r="N16" s="43">
        <v>507.9</v>
      </c>
      <c r="O16" s="43">
        <v>18305.37</v>
      </c>
      <c r="P16" s="43">
        <v>203241.16</v>
      </c>
      <c r="Q16" s="43">
        <v>387712.56</v>
      </c>
      <c r="R16" s="43">
        <v>383052.84</v>
      </c>
      <c r="S16" s="43">
        <v>381860.38</v>
      </c>
      <c r="T16" s="43">
        <v>88905.78</v>
      </c>
      <c r="U16" s="43">
        <v>246566.78</v>
      </c>
      <c r="V16" s="43">
        <v>37.770000000000003</v>
      </c>
      <c r="W16" s="43">
        <v>38.299999999999997</v>
      </c>
      <c r="X16" s="43">
        <v>140.44999999999999</v>
      </c>
      <c r="Y16" s="43">
        <v>139.13</v>
      </c>
      <c r="Z16" s="43">
        <v>77.89</v>
      </c>
      <c r="AA16" s="43">
        <v>78.11</v>
      </c>
      <c r="AB16" s="43">
        <v>327.25</v>
      </c>
      <c r="AC16" s="43">
        <v>0.19</v>
      </c>
      <c r="AD16" s="43">
        <v>-0.71</v>
      </c>
      <c r="AE16" s="43">
        <v>320.06</v>
      </c>
      <c r="AF16" s="43">
        <v>-0.01</v>
      </c>
      <c r="AG16" s="43">
        <v>64.8</v>
      </c>
      <c r="AH16" s="43">
        <v>100.58</v>
      </c>
      <c r="AI16" s="43">
        <v>104.2</v>
      </c>
      <c r="AJ16" s="43">
        <v>103.34</v>
      </c>
      <c r="AK16" s="43">
        <v>-0.01</v>
      </c>
      <c r="AL16" s="43">
        <v>42.87</v>
      </c>
      <c r="AM16" s="43">
        <v>42.42</v>
      </c>
      <c r="AN16" s="43">
        <v>41.04</v>
      </c>
      <c r="AO16" s="43">
        <v>39.61</v>
      </c>
      <c r="AP16" s="43">
        <v>9284.19</v>
      </c>
      <c r="AQ16" s="43">
        <v>6.77</v>
      </c>
      <c r="AR16" s="43">
        <v>6.73</v>
      </c>
      <c r="AS16" s="43">
        <v>6.76</v>
      </c>
      <c r="AT16" s="43">
        <v>6.76</v>
      </c>
      <c r="AU16" s="43">
        <v>2933.54</v>
      </c>
      <c r="AV16" s="43">
        <v>126.32</v>
      </c>
      <c r="AW16" s="43">
        <v>116.13</v>
      </c>
      <c r="AX16" s="43">
        <v>2824.1</v>
      </c>
      <c r="AY16" s="43">
        <v>2951.33</v>
      </c>
      <c r="AZ16" s="43">
        <v>856.49</v>
      </c>
      <c r="BA16" s="43">
        <v>3439.78</v>
      </c>
      <c r="BB16" s="43">
        <v>3181.5</v>
      </c>
      <c r="BC16" s="43">
        <v>3108.53</v>
      </c>
      <c r="BD16" s="43">
        <v>3591.44</v>
      </c>
      <c r="BE16" s="43">
        <v>3523.2</v>
      </c>
      <c r="BF16" s="43">
        <v>3601.1</v>
      </c>
      <c r="BG16" s="43">
        <v>3531.84</v>
      </c>
      <c r="BH16" s="43">
        <v>2188.9</v>
      </c>
      <c r="BI16" s="43">
        <v>3458.06</v>
      </c>
      <c r="BJ16" s="43">
        <v>3465.6</v>
      </c>
      <c r="BK16" s="43">
        <v>3412.68</v>
      </c>
      <c r="BL16" s="43">
        <v>1578.59</v>
      </c>
      <c r="BM16" s="43">
        <v>3531.02</v>
      </c>
      <c r="BN16" s="43">
        <v>3483.53</v>
      </c>
    </row>
    <row r="17" spans="1:66" s="5" customFormat="1" ht="15" x14ac:dyDescent="0.3">
      <c r="A17" s="54" t="s">
        <v>129</v>
      </c>
      <c r="B17" s="43">
        <v>272.41000000000003</v>
      </c>
      <c r="C17" s="43">
        <v>2586259.5</v>
      </c>
      <c r="D17" s="43">
        <v>42200.69</v>
      </c>
      <c r="E17" s="43">
        <v>1113865.5</v>
      </c>
      <c r="F17" s="43">
        <v>2039739.38</v>
      </c>
      <c r="G17" s="43">
        <v>2132209</v>
      </c>
      <c r="H17" s="43">
        <v>10022846</v>
      </c>
      <c r="I17" s="43">
        <v>300.87</v>
      </c>
      <c r="J17" s="43">
        <v>7507.01</v>
      </c>
      <c r="K17" s="43">
        <v>1111425.5</v>
      </c>
      <c r="L17" s="43">
        <v>2001719</v>
      </c>
      <c r="M17" s="43">
        <v>2233403.5</v>
      </c>
      <c r="N17" s="43">
        <v>507.9</v>
      </c>
      <c r="O17" s="43">
        <v>18305.37</v>
      </c>
      <c r="P17" s="43">
        <v>203241.16</v>
      </c>
      <c r="Q17" s="43">
        <v>387715.94</v>
      </c>
      <c r="R17" s="43">
        <v>383056.13</v>
      </c>
      <c r="S17" s="43">
        <v>381863.84</v>
      </c>
      <c r="T17" s="43">
        <v>88908.53</v>
      </c>
      <c r="U17" s="43">
        <v>246566.95</v>
      </c>
      <c r="V17" s="43">
        <v>37.770000000000003</v>
      </c>
      <c r="W17" s="43">
        <v>38.299999999999997</v>
      </c>
      <c r="X17" s="43">
        <v>140.37</v>
      </c>
      <c r="Y17" s="43">
        <v>139.1</v>
      </c>
      <c r="Z17" s="43">
        <v>77.89</v>
      </c>
      <c r="AA17" s="43">
        <v>78.11</v>
      </c>
      <c r="AB17" s="43">
        <v>337.3</v>
      </c>
      <c r="AC17" s="43">
        <v>0.19</v>
      </c>
      <c r="AD17" s="43">
        <v>-0.71</v>
      </c>
      <c r="AE17" s="43">
        <v>331.07</v>
      </c>
      <c r="AF17" s="43">
        <v>-0.01</v>
      </c>
      <c r="AG17" s="43">
        <v>66.39</v>
      </c>
      <c r="AH17" s="43">
        <v>100.58</v>
      </c>
      <c r="AI17" s="43">
        <v>104.2</v>
      </c>
      <c r="AJ17" s="43">
        <v>103.34</v>
      </c>
      <c r="AK17" s="43">
        <v>-0.01</v>
      </c>
      <c r="AL17" s="43">
        <v>42.77</v>
      </c>
      <c r="AM17" s="43">
        <v>42.41</v>
      </c>
      <c r="AN17" s="43">
        <v>40.950000000000003</v>
      </c>
      <c r="AO17" s="43">
        <v>39.57</v>
      </c>
      <c r="AP17" s="43">
        <v>9441.7900000000009</v>
      </c>
      <c r="AQ17" s="43">
        <v>6.77</v>
      </c>
      <c r="AR17" s="43">
        <v>6.73</v>
      </c>
      <c r="AS17" s="43">
        <v>6.76</v>
      </c>
      <c r="AT17" s="43">
        <v>6.76</v>
      </c>
      <c r="AU17" s="43">
        <v>2933.62</v>
      </c>
      <c r="AV17" s="43">
        <v>126.32</v>
      </c>
      <c r="AW17" s="43">
        <v>116.13</v>
      </c>
      <c r="AX17" s="43">
        <v>2824.18</v>
      </c>
      <c r="AY17" s="43">
        <v>2951.33</v>
      </c>
      <c r="AZ17" s="43">
        <v>856.57</v>
      </c>
      <c r="BA17" s="43">
        <v>3439.86</v>
      </c>
      <c r="BB17" s="43">
        <v>3181.59</v>
      </c>
      <c r="BC17" s="43">
        <v>3108.62</v>
      </c>
      <c r="BD17" s="43">
        <v>3591.52</v>
      </c>
      <c r="BE17" s="43">
        <v>3523.28</v>
      </c>
      <c r="BF17" s="43">
        <v>3601.18</v>
      </c>
      <c r="BG17" s="43">
        <v>3531.92</v>
      </c>
      <c r="BH17" s="43">
        <v>2188.9</v>
      </c>
      <c r="BI17" s="43">
        <v>3458.14</v>
      </c>
      <c r="BJ17" s="43">
        <v>3465.68</v>
      </c>
      <c r="BK17" s="43">
        <v>3412.76</v>
      </c>
      <c r="BL17" s="43">
        <v>1578.67</v>
      </c>
      <c r="BM17" s="43">
        <v>3531.1</v>
      </c>
      <c r="BN17" s="43">
        <v>3483.62</v>
      </c>
    </row>
    <row r="18" spans="1:66" s="5" customFormat="1" ht="15" x14ac:dyDescent="0.3">
      <c r="A18" s="54" t="s">
        <v>130</v>
      </c>
      <c r="B18" s="43">
        <v>270.16000000000003</v>
      </c>
      <c r="C18" s="43">
        <v>2586293.5</v>
      </c>
      <c r="D18" s="43">
        <v>42200.69</v>
      </c>
      <c r="E18" s="43">
        <v>1113898.75</v>
      </c>
      <c r="F18" s="43">
        <v>2039795.75</v>
      </c>
      <c r="G18" s="43">
        <v>2132268</v>
      </c>
      <c r="H18" s="43">
        <v>10022913</v>
      </c>
      <c r="I18" s="43">
        <v>300.87</v>
      </c>
      <c r="J18" s="43">
        <v>7507.13</v>
      </c>
      <c r="K18" s="43">
        <v>1111451.25</v>
      </c>
      <c r="L18" s="43">
        <v>2001774.88</v>
      </c>
      <c r="M18" s="43">
        <v>2233470.5</v>
      </c>
      <c r="N18" s="43">
        <v>507.9</v>
      </c>
      <c r="O18" s="43">
        <v>18305.37</v>
      </c>
      <c r="P18" s="43">
        <v>203241.16</v>
      </c>
      <c r="Q18" s="43">
        <v>387719.31</v>
      </c>
      <c r="R18" s="43">
        <v>383059.81</v>
      </c>
      <c r="S18" s="43">
        <v>381867.13</v>
      </c>
      <c r="T18" s="43">
        <v>88910.77</v>
      </c>
      <c r="U18" s="43">
        <v>246567.45</v>
      </c>
      <c r="V18" s="43">
        <v>37.770000000000003</v>
      </c>
      <c r="W18" s="43">
        <v>38.299999999999997</v>
      </c>
      <c r="X18" s="43">
        <v>140.37</v>
      </c>
      <c r="Y18" s="43">
        <v>139.13999999999999</v>
      </c>
      <c r="Z18" s="43">
        <v>77.89</v>
      </c>
      <c r="AA18" s="43">
        <v>78.11</v>
      </c>
      <c r="AB18" s="43">
        <v>332.18</v>
      </c>
      <c r="AC18" s="43">
        <v>0.19</v>
      </c>
      <c r="AD18" s="43">
        <v>-0.71</v>
      </c>
      <c r="AE18" s="43">
        <v>326.04000000000002</v>
      </c>
      <c r="AF18" s="43">
        <v>-0.01</v>
      </c>
      <c r="AG18" s="43">
        <v>66.150000000000006</v>
      </c>
      <c r="AH18" s="43">
        <v>100.58</v>
      </c>
      <c r="AI18" s="43">
        <v>104.2</v>
      </c>
      <c r="AJ18" s="43">
        <v>103.34</v>
      </c>
      <c r="AK18" s="43">
        <v>-0.01</v>
      </c>
      <c r="AL18" s="43">
        <v>42.68</v>
      </c>
      <c r="AM18" s="43">
        <v>42.37</v>
      </c>
      <c r="AN18" s="43">
        <v>40.880000000000003</v>
      </c>
      <c r="AO18" s="43">
        <v>39.450000000000003</v>
      </c>
      <c r="AP18" s="43">
        <v>9364.7199999999993</v>
      </c>
      <c r="AQ18" s="43">
        <v>6.77</v>
      </c>
      <c r="AR18" s="43">
        <v>6.73</v>
      </c>
      <c r="AS18" s="43">
        <v>6.76</v>
      </c>
      <c r="AT18" s="43">
        <v>6.76</v>
      </c>
      <c r="AU18" s="43">
        <v>2933.7</v>
      </c>
      <c r="AV18" s="43">
        <v>126.32</v>
      </c>
      <c r="AW18" s="43">
        <v>116.13</v>
      </c>
      <c r="AX18" s="43">
        <v>2824.26</v>
      </c>
      <c r="AY18" s="43">
        <v>2951.33</v>
      </c>
      <c r="AZ18" s="43">
        <v>856.66</v>
      </c>
      <c r="BA18" s="43">
        <v>3439.94</v>
      </c>
      <c r="BB18" s="43">
        <v>3181.67</v>
      </c>
      <c r="BC18" s="43">
        <v>3108.7</v>
      </c>
      <c r="BD18" s="43">
        <v>3591.6</v>
      </c>
      <c r="BE18" s="43">
        <v>3523.37</v>
      </c>
      <c r="BF18" s="43">
        <v>3601.27</v>
      </c>
      <c r="BG18" s="43">
        <v>3532.01</v>
      </c>
      <c r="BH18" s="43">
        <v>2188.9</v>
      </c>
      <c r="BI18" s="43">
        <v>3458.23</v>
      </c>
      <c r="BJ18" s="43">
        <v>3465.76</v>
      </c>
      <c r="BK18" s="43">
        <v>3412.84</v>
      </c>
      <c r="BL18" s="43">
        <v>1578.76</v>
      </c>
      <c r="BM18" s="43">
        <v>3531.18</v>
      </c>
      <c r="BN18" s="43">
        <v>3483.7</v>
      </c>
    </row>
    <row r="19" spans="1:66" s="5" customFormat="1" ht="15" x14ac:dyDescent="0.3">
      <c r="A19" s="54" t="s">
        <v>131</v>
      </c>
      <c r="B19" s="43">
        <v>270.98</v>
      </c>
      <c r="C19" s="43">
        <v>2586327.25</v>
      </c>
      <c r="D19" s="43">
        <v>42200.69</v>
      </c>
      <c r="E19" s="43">
        <v>1113931.8799999999</v>
      </c>
      <c r="F19" s="43">
        <v>2039851.38</v>
      </c>
      <c r="G19" s="43">
        <v>2132326.5</v>
      </c>
      <c r="H19" s="43">
        <v>10022979</v>
      </c>
      <c r="I19" s="43">
        <v>300.87</v>
      </c>
      <c r="J19" s="43">
        <v>7507.24</v>
      </c>
      <c r="K19" s="43">
        <v>1111477.8799999999</v>
      </c>
      <c r="L19" s="43">
        <v>2001830.88</v>
      </c>
      <c r="M19" s="43">
        <v>2233537.5</v>
      </c>
      <c r="N19" s="43">
        <v>507.9</v>
      </c>
      <c r="O19" s="43">
        <v>18305.37</v>
      </c>
      <c r="P19" s="43">
        <v>203241.16</v>
      </c>
      <c r="Q19" s="43">
        <v>387722.69</v>
      </c>
      <c r="R19" s="43">
        <v>383063.09</v>
      </c>
      <c r="S19" s="43">
        <v>381870.91</v>
      </c>
      <c r="T19" s="43">
        <v>88913.55</v>
      </c>
      <c r="U19" s="43">
        <v>246569.02</v>
      </c>
      <c r="V19" s="43">
        <v>37.770000000000003</v>
      </c>
      <c r="W19" s="43">
        <v>38.299999999999997</v>
      </c>
      <c r="X19" s="43">
        <v>140.37</v>
      </c>
      <c r="Y19" s="43">
        <v>139.22999999999999</v>
      </c>
      <c r="Z19" s="43">
        <v>78.03</v>
      </c>
      <c r="AA19" s="43">
        <v>78.22</v>
      </c>
      <c r="AB19" s="43">
        <v>333.03</v>
      </c>
      <c r="AC19" s="43">
        <v>0.19</v>
      </c>
      <c r="AD19" s="43">
        <v>-0.71</v>
      </c>
      <c r="AE19" s="43">
        <v>326.33</v>
      </c>
      <c r="AF19" s="43">
        <v>-0.01</v>
      </c>
      <c r="AG19" s="43">
        <v>65.97</v>
      </c>
      <c r="AH19" s="43">
        <v>100.58</v>
      </c>
      <c r="AI19" s="43">
        <v>104.2</v>
      </c>
      <c r="AJ19" s="43">
        <v>103.34</v>
      </c>
      <c r="AK19" s="43">
        <v>-0.01</v>
      </c>
      <c r="AL19" s="43">
        <v>42.72</v>
      </c>
      <c r="AM19" s="43">
        <v>42.35</v>
      </c>
      <c r="AN19" s="43">
        <v>40.94</v>
      </c>
      <c r="AO19" s="43">
        <v>39.5</v>
      </c>
      <c r="AP19" s="43">
        <v>9396.77</v>
      </c>
      <c r="AQ19" s="43">
        <v>6.77</v>
      </c>
      <c r="AR19" s="43">
        <v>6.73</v>
      </c>
      <c r="AS19" s="43">
        <v>6.76</v>
      </c>
      <c r="AT19" s="43">
        <v>6.76</v>
      </c>
      <c r="AU19" s="43">
        <v>2933.79</v>
      </c>
      <c r="AV19" s="43">
        <v>126.32</v>
      </c>
      <c r="AW19" s="43">
        <v>116.13</v>
      </c>
      <c r="AX19" s="43">
        <v>2824.35</v>
      </c>
      <c r="AY19" s="43">
        <v>2951.33</v>
      </c>
      <c r="AZ19" s="43">
        <v>856.74</v>
      </c>
      <c r="BA19" s="43">
        <v>3440.03</v>
      </c>
      <c r="BB19" s="43">
        <v>3181.75</v>
      </c>
      <c r="BC19" s="43">
        <v>3108.78</v>
      </c>
      <c r="BD19" s="43">
        <v>3591.69</v>
      </c>
      <c r="BE19" s="43">
        <v>3523.45</v>
      </c>
      <c r="BF19" s="43">
        <v>3601.35</v>
      </c>
      <c r="BG19" s="43">
        <v>3532.09</v>
      </c>
      <c r="BH19" s="43">
        <v>2188.9</v>
      </c>
      <c r="BI19" s="43">
        <v>3458.31</v>
      </c>
      <c r="BJ19" s="43">
        <v>3465.85</v>
      </c>
      <c r="BK19" s="43">
        <v>3412.93</v>
      </c>
      <c r="BL19" s="43">
        <v>1578.84</v>
      </c>
      <c r="BM19" s="43">
        <v>3531.27</v>
      </c>
      <c r="BN19" s="43">
        <v>3483.78</v>
      </c>
    </row>
    <row r="20" spans="1:66" s="5" customFormat="1" ht="15" x14ac:dyDescent="0.3">
      <c r="A20" s="54" t="s">
        <v>132</v>
      </c>
      <c r="B20" s="43">
        <v>271.73</v>
      </c>
      <c r="C20" s="43">
        <v>2586361.25</v>
      </c>
      <c r="D20" s="43">
        <v>42200.69</v>
      </c>
      <c r="E20" s="43">
        <v>1113965.25</v>
      </c>
      <c r="F20" s="43">
        <v>2039907.63</v>
      </c>
      <c r="G20" s="43">
        <v>2132385.75</v>
      </c>
      <c r="H20" s="43">
        <v>10023046</v>
      </c>
      <c r="I20" s="43">
        <v>300.87</v>
      </c>
      <c r="J20" s="43">
        <v>7507.36</v>
      </c>
      <c r="K20" s="43">
        <v>1111505.3799999999</v>
      </c>
      <c r="L20" s="43">
        <v>2001886.75</v>
      </c>
      <c r="M20" s="43">
        <v>2233605</v>
      </c>
      <c r="N20" s="43">
        <v>507.9</v>
      </c>
      <c r="O20" s="43">
        <v>18305.37</v>
      </c>
      <c r="P20" s="43">
        <v>203241.16</v>
      </c>
      <c r="Q20" s="43">
        <v>387726.09</v>
      </c>
      <c r="R20" s="43">
        <v>383066.47</v>
      </c>
      <c r="S20" s="43">
        <v>381874.19</v>
      </c>
      <c r="T20" s="43">
        <v>88916.29</v>
      </c>
      <c r="U20" s="43">
        <v>246569.94</v>
      </c>
      <c r="V20" s="43">
        <v>37.770000000000003</v>
      </c>
      <c r="W20" s="43">
        <v>38.299999999999997</v>
      </c>
      <c r="X20" s="43">
        <v>140.44</v>
      </c>
      <c r="Y20" s="43">
        <v>139.46</v>
      </c>
      <c r="Z20" s="43">
        <v>78.62</v>
      </c>
      <c r="AA20" s="43">
        <v>78.73</v>
      </c>
      <c r="AB20" s="43">
        <v>335.34</v>
      </c>
      <c r="AC20" s="43">
        <v>0.19</v>
      </c>
      <c r="AD20" s="43">
        <v>-0.71</v>
      </c>
      <c r="AE20" s="43">
        <v>329.12</v>
      </c>
      <c r="AF20" s="43">
        <v>-0.01</v>
      </c>
      <c r="AG20" s="43">
        <v>66.13</v>
      </c>
      <c r="AH20" s="43">
        <v>100.58</v>
      </c>
      <c r="AI20" s="43">
        <v>104.2</v>
      </c>
      <c r="AJ20" s="43">
        <v>103.34</v>
      </c>
      <c r="AK20" s="43">
        <v>-0.01</v>
      </c>
      <c r="AL20" s="43">
        <v>42.65</v>
      </c>
      <c r="AM20" s="43">
        <v>42.38</v>
      </c>
      <c r="AN20" s="43">
        <v>40.98</v>
      </c>
      <c r="AO20" s="43">
        <v>39.57</v>
      </c>
      <c r="AP20" s="43">
        <v>9407.73</v>
      </c>
      <c r="AQ20" s="43">
        <v>6.77</v>
      </c>
      <c r="AR20" s="43">
        <v>6.73</v>
      </c>
      <c r="AS20" s="43">
        <v>6.76</v>
      </c>
      <c r="AT20" s="43">
        <v>6.76</v>
      </c>
      <c r="AU20" s="43">
        <v>2933.87</v>
      </c>
      <c r="AV20" s="43">
        <v>126.32</v>
      </c>
      <c r="AW20" s="43">
        <v>116.13</v>
      </c>
      <c r="AX20" s="43">
        <v>2824.43</v>
      </c>
      <c r="AY20" s="43">
        <v>2951.33</v>
      </c>
      <c r="AZ20" s="43">
        <v>856.82</v>
      </c>
      <c r="BA20" s="43">
        <v>3440.11</v>
      </c>
      <c r="BB20" s="43">
        <v>3181.84</v>
      </c>
      <c r="BC20" s="43">
        <v>3108.87</v>
      </c>
      <c r="BD20" s="43">
        <v>3591.77</v>
      </c>
      <c r="BE20" s="43">
        <v>3523.53</v>
      </c>
      <c r="BF20" s="43">
        <v>3601.43</v>
      </c>
      <c r="BG20" s="43">
        <v>3532.17</v>
      </c>
      <c r="BH20" s="43">
        <v>2188.9</v>
      </c>
      <c r="BI20" s="43">
        <v>3458.39</v>
      </c>
      <c r="BJ20" s="43">
        <v>3465.93</v>
      </c>
      <c r="BK20" s="43">
        <v>3413.01</v>
      </c>
      <c r="BL20" s="43">
        <v>1578.92</v>
      </c>
      <c r="BM20" s="43">
        <v>3531.35</v>
      </c>
      <c r="BN20" s="43">
        <v>3483.87</v>
      </c>
    </row>
    <row r="21" spans="1:66" s="5" customFormat="1" ht="15" x14ac:dyDescent="0.3">
      <c r="A21" s="54" t="s">
        <v>133</v>
      </c>
      <c r="B21" s="43">
        <v>271.42</v>
      </c>
      <c r="C21" s="43">
        <v>2586395</v>
      </c>
      <c r="D21" s="43">
        <v>42200.69</v>
      </c>
      <c r="E21" s="43">
        <v>1113998.6299999999</v>
      </c>
      <c r="F21" s="43">
        <v>2039963.75</v>
      </c>
      <c r="G21" s="43">
        <v>2132444.75</v>
      </c>
      <c r="H21" s="43">
        <v>10023112</v>
      </c>
      <c r="I21" s="43">
        <v>300.87</v>
      </c>
      <c r="J21" s="43">
        <v>7507.47</v>
      </c>
      <c r="K21" s="43">
        <v>1111532.8799999999</v>
      </c>
      <c r="L21" s="43">
        <v>2001942.63</v>
      </c>
      <c r="M21" s="43">
        <v>2233672.25</v>
      </c>
      <c r="N21" s="43">
        <v>507.9</v>
      </c>
      <c r="O21" s="43">
        <v>18305.37</v>
      </c>
      <c r="P21" s="43">
        <v>203241.16</v>
      </c>
      <c r="Q21" s="43">
        <v>387729.47</v>
      </c>
      <c r="R21" s="43">
        <v>383069.84</v>
      </c>
      <c r="S21" s="43">
        <v>381877.47</v>
      </c>
      <c r="T21" s="43">
        <v>88918.49</v>
      </c>
      <c r="U21" s="43">
        <v>246570.22</v>
      </c>
      <c r="V21" s="43">
        <v>37.770000000000003</v>
      </c>
      <c r="W21" s="43">
        <v>38.299999999999997</v>
      </c>
      <c r="X21" s="43">
        <v>140.91</v>
      </c>
      <c r="Y21" s="43">
        <v>139.41</v>
      </c>
      <c r="Z21" s="43">
        <v>78.87</v>
      </c>
      <c r="AA21" s="43">
        <v>78.73</v>
      </c>
      <c r="AB21" s="43">
        <v>334.63</v>
      </c>
      <c r="AC21" s="43">
        <v>0.19</v>
      </c>
      <c r="AD21" s="43">
        <v>-0.71</v>
      </c>
      <c r="AE21" s="43">
        <v>328.31</v>
      </c>
      <c r="AF21" s="43">
        <v>-0.01</v>
      </c>
      <c r="AG21" s="43">
        <v>66.3</v>
      </c>
      <c r="AH21" s="43">
        <v>100.58</v>
      </c>
      <c r="AI21" s="43">
        <v>104.2</v>
      </c>
      <c r="AJ21" s="43">
        <v>103.34</v>
      </c>
      <c r="AK21" s="43">
        <v>-0.01</v>
      </c>
      <c r="AL21" s="43">
        <v>42.59</v>
      </c>
      <c r="AM21" s="43">
        <v>42.38</v>
      </c>
      <c r="AN21" s="43">
        <v>41.01</v>
      </c>
      <c r="AO21" s="43">
        <v>39.42</v>
      </c>
      <c r="AP21" s="43">
        <v>9389.18</v>
      </c>
      <c r="AQ21" s="43">
        <v>6.77</v>
      </c>
      <c r="AR21" s="43">
        <v>6.73</v>
      </c>
      <c r="AS21" s="43">
        <v>6.76</v>
      </c>
      <c r="AT21" s="43">
        <v>6.76</v>
      </c>
      <c r="AU21" s="43">
        <v>2933.95</v>
      </c>
      <c r="AV21" s="43">
        <v>126.32</v>
      </c>
      <c r="AW21" s="43">
        <v>116.13</v>
      </c>
      <c r="AX21" s="43">
        <v>2824.51</v>
      </c>
      <c r="AY21" s="43">
        <v>2951.33</v>
      </c>
      <c r="AZ21" s="43">
        <v>856.91</v>
      </c>
      <c r="BA21" s="43">
        <v>3440.19</v>
      </c>
      <c r="BB21" s="43">
        <v>3181.92</v>
      </c>
      <c r="BC21" s="43">
        <v>3108.95</v>
      </c>
      <c r="BD21" s="43">
        <v>3591.85</v>
      </c>
      <c r="BE21" s="43">
        <v>3523.62</v>
      </c>
      <c r="BF21" s="43">
        <v>3601.52</v>
      </c>
      <c r="BG21" s="43">
        <v>3532.26</v>
      </c>
      <c r="BH21" s="43">
        <v>2188.9</v>
      </c>
      <c r="BI21" s="43">
        <v>3458.48</v>
      </c>
      <c r="BJ21" s="43">
        <v>3466.01</v>
      </c>
      <c r="BK21" s="43">
        <v>3413.09</v>
      </c>
      <c r="BL21" s="43">
        <v>1579</v>
      </c>
      <c r="BM21" s="43">
        <v>3531.43</v>
      </c>
      <c r="BN21" s="43">
        <v>3483.95</v>
      </c>
    </row>
    <row r="22" spans="1:66" s="5" customFormat="1" ht="15" x14ac:dyDescent="0.3">
      <c r="A22" s="54" t="s">
        <v>134</v>
      </c>
      <c r="B22" s="43">
        <v>268.11</v>
      </c>
      <c r="C22" s="43">
        <v>2586428.5</v>
      </c>
      <c r="D22" s="43">
        <v>42200.69</v>
      </c>
      <c r="E22" s="43">
        <v>1114031.5</v>
      </c>
      <c r="F22" s="43">
        <v>2040019.25</v>
      </c>
      <c r="G22" s="43">
        <v>2132503</v>
      </c>
      <c r="H22" s="43">
        <v>10023178</v>
      </c>
      <c r="I22" s="43">
        <v>300.87</v>
      </c>
      <c r="J22" s="43">
        <v>7507.59</v>
      </c>
      <c r="K22" s="43">
        <v>1111560.5</v>
      </c>
      <c r="L22" s="43">
        <v>2001998.38</v>
      </c>
      <c r="M22" s="43">
        <v>2233738.5</v>
      </c>
      <c r="N22" s="43">
        <v>507.9</v>
      </c>
      <c r="O22" s="43">
        <v>18305.37</v>
      </c>
      <c r="P22" s="43">
        <v>203241.16</v>
      </c>
      <c r="Q22" s="43">
        <v>387732.84</v>
      </c>
      <c r="R22" s="43">
        <v>383073.09</v>
      </c>
      <c r="S22" s="43">
        <v>381880.84</v>
      </c>
      <c r="T22" s="43">
        <v>88921.23</v>
      </c>
      <c r="U22" s="43">
        <v>246571.17</v>
      </c>
      <c r="V22" s="43">
        <v>37.770000000000003</v>
      </c>
      <c r="W22" s="43">
        <v>38.299999999999997</v>
      </c>
      <c r="X22" s="43">
        <v>140.91</v>
      </c>
      <c r="Y22" s="43">
        <v>139.38</v>
      </c>
      <c r="Z22" s="43">
        <v>78.61</v>
      </c>
      <c r="AA22" s="43">
        <v>78.73</v>
      </c>
      <c r="AB22" s="43">
        <v>329.66</v>
      </c>
      <c r="AC22" s="43">
        <v>0.19</v>
      </c>
      <c r="AD22" s="43">
        <v>-0.71</v>
      </c>
      <c r="AE22" s="43">
        <v>323.66000000000003</v>
      </c>
      <c r="AF22" s="43">
        <v>-0.01</v>
      </c>
      <c r="AG22" s="43">
        <v>65.989999999999995</v>
      </c>
      <c r="AH22" s="43">
        <v>100.58</v>
      </c>
      <c r="AI22" s="43">
        <v>104.2</v>
      </c>
      <c r="AJ22" s="43">
        <v>103.34</v>
      </c>
      <c r="AK22" s="43">
        <v>-0.01</v>
      </c>
      <c r="AL22" s="43">
        <v>42.59</v>
      </c>
      <c r="AM22" s="43">
        <v>42.39</v>
      </c>
      <c r="AN22" s="43">
        <v>41.13</v>
      </c>
      <c r="AO22" s="43">
        <v>39.369999999999997</v>
      </c>
      <c r="AP22" s="43">
        <v>9267</v>
      </c>
      <c r="AQ22" s="43">
        <v>6.77</v>
      </c>
      <c r="AR22" s="43">
        <v>6.73</v>
      </c>
      <c r="AS22" s="43">
        <v>6.76</v>
      </c>
      <c r="AT22" s="43">
        <v>6.76</v>
      </c>
      <c r="AU22" s="43">
        <v>2934.04</v>
      </c>
      <c r="AV22" s="43">
        <v>126.32</v>
      </c>
      <c r="AW22" s="43">
        <v>116.13</v>
      </c>
      <c r="AX22" s="43">
        <v>2824.6</v>
      </c>
      <c r="AY22" s="43">
        <v>2951.33</v>
      </c>
      <c r="AZ22" s="43">
        <v>856.99</v>
      </c>
      <c r="BA22" s="43">
        <v>3440.28</v>
      </c>
      <c r="BB22" s="43">
        <v>3182</v>
      </c>
      <c r="BC22" s="43">
        <v>3109.03</v>
      </c>
      <c r="BD22" s="43">
        <v>3591.94</v>
      </c>
      <c r="BE22" s="43">
        <v>3523.7</v>
      </c>
      <c r="BF22" s="43">
        <v>3601.6</v>
      </c>
      <c r="BG22" s="43">
        <v>3532.34</v>
      </c>
      <c r="BH22" s="43">
        <v>2188.9</v>
      </c>
      <c r="BI22" s="43">
        <v>3458.56</v>
      </c>
      <c r="BJ22" s="43">
        <v>3466.1</v>
      </c>
      <c r="BK22" s="43">
        <v>3413.18</v>
      </c>
      <c r="BL22" s="43">
        <v>1579.09</v>
      </c>
      <c r="BM22" s="43">
        <v>3531.52</v>
      </c>
      <c r="BN22" s="43">
        <v>3484.03</v>
      </c>
    </row>
    <row r="23" spans="1:66" s="5" customFormat="1" ht="15" x14ac:dyDescent="0.3">
      <c r="A23" s="54" t="s">
        <v>135</v>
      </c>
      <c r="B23" s="43">
        <v>269.47000000000003</v>
      </c>
      <c r="C23" s="43">
        <v>2586462</v>
      </c>
      <c r="D23" s="43">
        <v>42200.69</v>
      </c>
      <c r="E23" s="43">
        <v>1114064.3799999999</v>
      </c>
      <c r="F23" s="43">
        <v>2040074.5</v>
      </c>
      <c r="G23" s="43">
        <v>2132561.25</v>
      </c>
      <c r="H23" s="43">
        <v>10023244</v>
      </c>
      <c r="I23" s="43">
        <v>300.87</v>
      </c>
      <c r="J23" s="43">
        <v>7507.71</v>
      </c>
      <c r="K23" s="43">
        <v>1111588</v>
      </c>
      <c r="L23" s="43">
        <v>2002054.13</v>
      </c>
      <c r="M23" s="43">
        <v>2233805</v>
      </c>
      <c r="N23" s="43">
        <v>507.9</v>
      </c>
      <c r="O23" s="43">
        <v>18305.37</v>
      </c>
      <c r="P23" s="43">
        <v>203241.16</v>
      </c>
      <c r="Q23" s="43">
        <v>387736.22</v>
      </c>
      <c r="R23" s="43">
        <v>383076.88</v>
      </c>
      <c r="S23" s="43">
        <v>381884.22</v>
      </c>
      <c r="T23" s="43">
        <v>88924.01</v>
      </c>
      <c r="U23" s="43">
        <v>246572.41</v>
      </c>
      <c r="V23" s="43">
        <v>37.770000000000003</v>
      </c>
      <c r="W23" s="43">
        <v>38.299999999999997</v>
      </c>
      <c r="X23" s="43">
        <v>140.44999999999999</v>
      </c>
      <c r="Y23" s="43">
        <v>139.4</v>
      </c>
      <c r="Z23" s="43">
        <v>78.61</v>
      </c>
      <c r="AA23" s="43">
        <v>78.73</v>
      </c>
      <c r="AB23" s="43">
        <v>331.99</v>
      </c>
      <c r="AC23" s="43">
        <v>0.19</v>
      </c>
      <c r="AD23" s="43">
        <v>-0.71</v>
      </c>
      <c r="AE23" s="43">
        <v>324.95999999999998</v>
      </c>
      <c r="AF23" s="43">
        <v>-0.01</v>
      </c>
      <c r="AG23" s="43">
        <v>65.489999999999995</v>
      </c>
      <c r="AH23" s="43">
        <v>100.58</v>
      </c>
      <c r="AI23" s="43">
        <v>104.2</v>
      </c>
      <c r="AJ23" s="43">
        <v>103.34</v>
      </c>
      <c r="AK23" s="43">
        <v>-0.01</v>
      </c>
      <c r="AL23" s="43">
        <v>42.63</v>
      </c>
      <c r="AM23" s="43">
        <v>42.36</v>
      </c>
      <c r="AN23" s="43">
        <v>41.19</v>
      </c>
      <c r="AO23" s="43">
        <v>39.340000000000003</v>
      </c>
      <c r="AP23" s="43">
        <v>9331.6299999999992</v>
      </c>
      <c r="AQ23" s="43">
        <v>6.77</v>
      </c>
      <c r="AR23" s="43">
        <v>6.73</v>
      </c>
      <c r="AS23" s="43">
        <v>6.76</v>
      </c>
      <c r="AT23" s="43">
        <v>6.76</v>
      </c>
      <c r="AU23" s="43">
        <v>2934.12</v>
      </c>
      <c r="AV23" s="43">
        <v>126.32</v>
      </c>
      <c r="AW23" s="43">
        <v>116.13</v>
      </c>
      <c r="AX23" s="43">
        <v>2824.68</v>
      </c>
      <c r="AY23" s="43">
        <v>2951.33</v>
      </c>
      <c r="AZ23" s="43">
        <v>857.07</v>
      </c>
      <c r="BA23" s="43">
        <v>3440.36</v>
      </c>
      <c r="BB23" s="43">
        <v>3182.09</v>
      </c>
      <c r="BC23" s="43">
        <v>3109.12</v>
      </c>
      <c r="BD23" s="43">
        <v>3592.02</v>
      </c>
      <c r="BE23" s="43">
        <v>3523.78</v>
      </c>
      <c r="BF23" s="43">
        <v>3601.68</v>
      </c>
      <c r="BG23" s="43">
        <v>3532.42</v>
      </c>
      <c r="BH23" s="43">
        <v>2188.9</v>
      </c>
      <c r="BI23" s="43">
        <v>3458.64</v>
      </c>
      <c r="BJ23" s="43">
        <v>3466.18</v>
      </c>
      <c r="BK23" s="43">
        <v>3413.26</v>
      </c>
      <c r="BL23" s="43">
        <v>1579.17</v>
      </c>
      <c r="BM23" s="43">
        <v>3531.6</v>
      </c>
      <c r="BN23" s="43">
        <v>3484.12</v>
      </c>
    </row>
    <row r="24" spans="1:66" s="5" customFormat="1" ht="15" x14ac:dyDescent="0.3">
      <c r="A24" s="54" t="s">
        <v>136</v>
      </c>
      <c r="B24" s="43">
        <v>270.77999999999997</v>
      </c>
      <c r="C24" s="43">
        <v>2586495.75</v>
      </c>
      <c r="D24" s="43">
        <v>42200.69</v>
      </c>
      <c r="E24" s="43">
        <v>1114097.6299999999</v>
      </c>
      <c r="F24" s="43">
        <v>2040130.25</v>
      </c>
      <c r="G24" s="43">
        <v>2132619.75</v>
      </c>
      <c r="H24" s="43">
        <v>10023311</v>
      </c>
      <c r="I24" s="43">
        <v>300.87</v>
      </c>
      <c r="J24" s="43">
        <v>7507.83</v>
      </c>
      <c r="K24" s="43">
        <v>1111615.5</v>
      </c>
      <c r="L24" s="43">
        <v>2002109.63</v>
      </c>
      <c r="M24" s="43">
        <v>2233871.75</v>
      </c>
      <c r="N24" s="43">
        <v>507.9</v>
      </c>
      <c r="O24" s="43">
        <v>18305.37</v>
      </c>
      <c r="P24" s="43">
        <v>203241.16</v>
      </c>
      <c r="Q24" s="43">
        <v>387739.59</v>
      </c>
      <c r="R24" s="43">
        <v>383080.16</v>
      </c>
      <c r="S24" s="43">
        <v>381888</v>
      </c>
      <c r="T24" s="43">
        <v>88926.21</v>
      </c>
      <c r="U24" s="43">
        <v>246572.78</v>
      </c>
      <c r="V24" s="43">
        <v>37.770000000000003</v>
      </c>
      <c r="W24" s="43">
        <v>38.299999999999997</v>
      </c>
      <c r="X24" s="43">
        <v>140.37</v>
      </c>
      <c r="Y24" s="43">
        <v>139.36000000000001</v>
      </c>
      <c r="Z24" s="43">
        <v>78.61</v>
      </c>
      <c r="AA24" s="43">
        <v>79.23</v>
      </c>
      <c r="AB24" s="43">
        <v>333.97</v>
      </c>
      <c r="AC24" s="43">
        <v>0.19</v>
      </c>
      <c r="AD24" s="43">
        <v>-0.71</v>
      </c>
      <c r="AE24" s="43">
        <v>327.93</v>
      </c>
      <c r="AF24" s="43">
        <v>-0.01</v>
      </c>
      <c r="AG24" s="43">
        <v>65.739999999999995</v>
      </c>
      <c r="AH24" s="43">
        <v>100.58</v>
      </c>
      <c r="AI24" s="43">
        <v>104.2</v>
      </c>
      <c r="AJ24" s="43">
        <v>103.34</v>
      </c>
      <c r="AK24" s="43">
        <v>-0.01</v>
      </c>
      <c r="AL24" s="43">
        <v>42.67</v>
      </c>
      <c r="AM24" s="43">
        <v>42.39</v>
      </c>
      <c r="AN24" s="43">
        <v>41.14</v>
      </c>
      <c r="AO24" s="43">
        <v>39.25</v>
      </c>
      <c r="AP24" s="43">
        <v>9367.5300000000007</v>
      </c>
      <c r="AQ24" s="43">
        <v>6.77</v>
      </c>
      <c r="AR24" s="43">
        <v>6.73</v>
      </c>
      <c r="AS24" s="43">
        <v>6.76</v>
      </c>
      <c r="AT24" s="43">
        <v>6.76</v>
      </c>
      <c r="AU24" s="43">
        <v>2934.2</v>
      </c>
      <c r="AV24" s="43">
        <v>126.32</v>
      </c>
      <c r="AW24" s="43">
        <v>116.13</v>
      </c>
      <c r="AX24" s="43">
        <v>2824.76</v>
      </c>
      <c r="AY24" s="43">
        <v>2951.33</v>
      </c>
      <c r="AZ24" s="43">
        <v>857.16</v>
      </c>
      <c r="BA24" s="43">
        <v>3440.44</v>
      </c>
      <c r="BB24" s="43">
        <v>3182.17</v>
      </c>
      <c r="BC24" s="43">
        <v>3109.2</v>
      </c>
      <c r="BD24" s="43">
        <v>3592.1</v>
      </c>
      <c r="BE24" s="43">
        <v>3523.87</v>
      </c>
      <c r="BF24" s="43">
        <v>3601.77</v>
      </c>
      <c r="BG24" s="43">
        <v>3532.51</v>
      </c>
      <c r="BH24" s="43">
        <v>2188.9</v>
      </c>
      <c r="BI24" s="43">
        <v>3458.73</v>
      </c>
      <c r="BJ24" s="43">
        <v>3466.26</v>
      </c>
      <c r="BK24" s="43">
        <v>3413.34</v>
      </c>
      <c r="BL24" s="43">
        <v>1579.26</v>
      </c>
      <c r="BM24" s="43">
        <v>3531.68</v>
      </c>
      <c r="BN24" s="43">
        <v>3484.2</v>
      </c>
    </row>
    <row r="25" spans="1:66" s="5" customFormat="1" ht="15" x14ac:dyDescent="0.3">
      <c r="A25" s="54" t="s">
        <v>137</v>
      </c>
      <c r="B25" s="43">
        <v>272.12</v>
      </c>
      <c r="C25" s="43">
        <v>2586529.25</v>
      </c>
      <c r="D25" s="43">
        <v>42200.69</v>
      </c>
      <c r="E25" s="43">
        <v>1114130.75</v>
      </c>
      <c r="F25" s="43">
        <v>2040186</v>
      </c>
      <c r="G25" s="43">
        <v>2132678.25</v>
      </c>
      <c r="H25" s="43">
        <v>10023377</v>
      </c>
      <c r="I25" s="43">
        <v>300.87</v>
      </c>
      <c r="J25" s="43">
        <v>7507.94</v>
      </c>
      <c r="K25" s="43">
        <v>1111642</v>
      </c>
      <c r="L25" s="43">
        <v>2002165.38</v>
      </c>
      <c r="M25" s="43">
        <v>2233938.5</v>
      </c>
      <c r="N25" s="43">
        <v>507.9</v>
      </c>
      <c r="O25" s="43">
        <v>18305.37</v>
      </c>
      <c r="P25" s="43">
        <v>203241.16</v>
      </c>
      <c r="Q25" s="43">
        <v>387742.97</v>
      </c>
      <c r="R25" s="43">
        <v>383083.56</v>
      </c>
      <c r="S25" s="43">
        <v>381891.25</v>
      </c>
      <c r="T25" s="43">
        <v>88928.98</v>
      </c>
      <c r="U25" s="43">
        <v>246573.17</v>
      </c>
      <c r="V25" s="43">
        <v>37.770000000000003</v>
      </c>
      <c r="W25" s="43">
        <v>38.299999999999997</v>
      </c>
      <c r="X25" s="43">
        <v>140.16999999999999</v>
      </c>
      <c r="Y25" s="43">
        <v>138.97</v>
      </c>
      <c r="Z25" s="43">
        <v>77.930000000000007</v>
      </c>
      <c r="AA25" s="43">
        <v>78.67</v>
      </c>
      <c r="AB25" s="43">
        <v>334.64</v>
      </c>
      <c r="AC25" s="43">
        <v>0.19</v>
      </c>
      <c r="AD25" s="43">
        <v>-0.71</v>
      </c>
      <c r="AE25" s="43">
        <v>328.24</v>
      </c>
      <c r="AF25" s="43">
        <v>-0.01</v>
      </c>
      <c r="AG25" s="43">
        <v>65.83</v>
      </c>
      <c r="AH25" s="43">
        <v>100.58</v>
      </c>
      <c r="AI25" s="43">
        <v>104.2</v>
      </c>
      <c r="AJ25" s="43">
        <v>103.34</v>
      </c>
      <c r="AK25" s="43">
        <v>0</v>
      </c>
      <c r="AL25" s="43">
        <v>42.6</v>
      </c>
      <c r="AM25" s="43">
        <v>42.37</v>
      </c>
      <c r="AN25" s="43">
        <v>40.97</v>
      </c>
      <c r="AO25" s="43">
        <v>39.17</v>
      </c>
      <c r="AP25" s="43">
        <v>9418.27</v>
      </c>
      <c r="AQ25" s="43">
        <v>6.77</v>
      </c>
      <c r="AR25" s="43">
        <v>6.73</v>
      </c>
      <c r="AS25" s="43">
        <v>6.76</v>
      </c>
      <c r="AT25" s="43">
        <v>6.76</v>
      </c>
      <c r="AU25" s="43">
        <v>2934.29</v>
      </c>
      <c r="AV25" s="43">
        <v>126.32</v>
      </c>
      <c r="AW25" s="43">
        <v>116.13</v>
      </c>
      <c r="AX25" s="43">
        <v>2824.85</v>
      </c>
      <c r="AY25" s="43">
        <v>2951.33</v>
      </c>
      <c r="AZ25" s="43">
        <v>857.24</v>
      </c>
      <c r="BA25" s="43">
        <v>3440.53</v>
      </c>
      <c r="BB25" s="43">
        <v>3182.25</v>
      </c>
      <c r="BC25" s="43">
        <v>3109.28</v>
      </c>
      <c r="BD25" s="43">
        <v>3592.19</v>
      </c>
      <c r="BE25" s="43">
        <v>3523.95</v>
      </c>
      <c r="BF25" s="43">
        <v>3601.85</v>
      </c>
      <c r="BG25" s="43">
        <v>3532.59</v>
      </c>
      <c r="BH25" s="43">
        <v>2188.9</v>
      </c>
      <c r="BI25" s="43">
        <v>3458.81</v>
      </c>
      <c r="BJ25" s="43">
        <v>3466.35</v>
      </c>
      <c r="BK25" s="43">
        <v>3413.43</v>
      </c>
      <c r="BL25" s="43">
        <v>1579.34</v>
      </c>
      <c r="BM25" s="43">
        <v>3531.77</v>
      </c>
      <c r="BN25" s="43">
        <v>3484.28</v>
      </c>
    </row>
    <row r="26" spans="1:66" s="5" customFormat="1" ht="15" x14ac:dyDescent="0.3">
      <c r="A26" s="54" t="s">
        <v>138</v>
      </c>
      <c r="B26" s="43">
        <v>270.14999999999998</v>
      </c>
      <c r="C26" s="43">
        <v>2586563.5</v>
      </c>
      <c r="D26" s="43">
        <v>42200.69</v>
      </c>
      <c r="E26" s="43">
        <v>1114164.25</v>
      </c>
      <c r="F26" s="43">
        <v>2040242.75</v>
      </c>
      <c r="G26" s="43">
        <v>2132738</v>
      </c>
      <c r="H26" s="43">
        <v>10023444</v>
      </c>
      <c r="I26" s="43">
        <v>300.87</v>
      </c>
      <c r="J26" s="43">
        <v>7508.06</v>
      </c>
      <c r="K26" s="43">
        <v>1111666.6299999999</v>
      </c>
      <c r="L26" s="43">
        <v>2002221</v>
      </c>
      <c r="M26" s="43">
        <v>2234006</v>
      </c>
      <c r="N26" s="43">
        <v>507.9</v>
      </c>
      <c r="O26" s="43">
        <v>18305.37</v>
      </c>
      <c r="P26" s="43">
        <v>203241.16</v>
      </c>
      <c r="Q26" s="43">
        <v>387746.34</v>
      </c>
      <c r="R26" s="43">
        <v>383086.84</v>
      </c>
      <c r="S26" s="43">
        <v>381894.44</v>
      </c>
      <c r="T26" s="43">
        <v>88931.73</v>
      </c>
      <c r="U26" s="43">
        <v>246574.14</v>
      </c>
      <c r="V26" s="43">
        <v>37.520000000000003</v>
      </c>
      <c r="W26" s="43">
        <v>37.86</v>
      </c>
      <c r="X26" s="43">
        <v>136.43</v>
      </c>
      <c r="Y26" s="43">
        <v>135.59</v>
      </c>
      <c r="Z26" s="43">
        <v>75.16</v>
      </c>
      <c r="AA26" s="43">
        <v>75.39</v>
      </c>
      <c r="AB26" s="43">
        <v>333.57</v>
      </c>
      <c r="AC26" s="43">
        <v>0.19</v>
      </c>
      <c r="AD26" s="43">
        <v>-0.71</v>
      </c>
      <c r="AE26" s="43">
        <v>327.63</v>
      </c>
      <c r="AF26" s="43">
        <v>-0.01</v>
      </c>
      <c r="AG26" s="43">
        <v>66.489999999999995</v>
      </c>
      <c r="AH26" s="43">
        <v>100.58</v>
      </c>
      <c r="AI26" s="43">
        <v>104.2</v>
      </c>
      <c r="AJ26" s="43">
        <v>103.34</v>
      </c>
      <c r="AK26" s="43">
        <v>0</v>
      </c>
      <c r="AL26" s="43">
        <v>42.51</v>
      </c>
      <c r="AM26" s="43">
        <v>42.37</v>
      </c>
      <c r="AN26" s="43">
        <v>40.869999999999997</v>
      </c>
      <c r="AO26" s="43">
        <v>39.590000000000003</v>
      </c>
      <c r="AP26" s="43">
        <v>9322.42</v>
      </c>
      <c r="AQ26" s="43">
        <v>6.77</v>
      </c>
      <c r="AR26" s="43">
        <v>6.73</v>
      </c>
      <c r="AS26" s="43">
        <v>6.76</v>
      </c>
      <c r="AT26" s="43">
        <v>6.76</v>
      </c>
      <c r="AU26" s="43">
        <v>2934.37</v>
      </c>
      <c r="AV26" s="43">
        <v>126.32</v>
      </c>
      <c r="AW26" s="43">
        <v>116.13</v>
      </c>
      <c r="AX26" s="43">
        <v>2824.93</v>
      </c>
      <c r="AY26" s="43">
        <v>2951.33</v>
      </c>
      <c r="AZ26" s="43">
        <v>857.32</v>
      </c>
      <c r="BA26" s="43">
        <v>3440.61</v>
      </c>
      <c r="BB26" s="43">
        <v>3182.34</v>
      </c>
      <c r="BC26" s="43">
        <v>3109.37</v>
      </c>
      <c r="BD26" s="43">
        <v>3592.27</v>
      </c>
      <c r="BE26" s="43">
        <v>3524.03</v>
      </c>
      <c r="BF26" s="43">
        <v>3601.93</v>
      </c>
      <c r="BG26" s="43">
        <v>3532.67</v>
      </c>
      <c r="BH26" s="43">
        <v>2188.9</v>
      </c>
      <c r="BI26" s="43">
        <v>3458.89</v>
      </c>
      <c r="BJ26" s="43">
        <v>3466.43</v>
      </c>
      <c r="BK26" s="43">
        <v>3413.51</v>
      </c>
      <c r="BL26" s="43">
        <v>1579.42</v>
      </c>
      <c r="BM26" s="43">
        <v>3531.85</v>
      </c>
      <c r="BN26" s="43">
        <v>3484.37</v>
      </c>
    </row>
    <row r="27" spans="1:66" x14ac:dyDescent="0.2">
      <c r="F27" s="74">
        <f>F26-F2</f>
        <v>1345.8700000001118</v>
      </c>
      <c r="G27" s="74">
        <f>G26-G2</f>
        <v>1415.25</v>
      </c>
      <c r="J27" s="75">
        <f>K27/2</f>
        <v>339.68999999994412</v>
      </c>
      <c r="K27" s="75">
        <f t="shared" ref="K27:L27" si="0">K26-K2</f>
        <v>679.37999999988824</v>
      </c>
      <c r="L27" s="59">
        <f t="shared" si="0"/>
        <v>1346.25</v>
      </c>
      <c r="M27">
        <f>M26-M2</f>
        <v>1612.75</v>
      </c>
      <c r="N27" s="59">
        <f t="shared" ref="N27" si="1">N26-N2</f>
        <v>0</v>
      </c>
      <c r="O27" s="59">
        <f t="shared" ref="O27:P27" si="2">O26-O2</f>
        <v>0</v>
      </c>
      <c r="P27" s="59">
        <f t="shared" si="2"/>
        <v>7.2699999999895226</v>
      </c>
      <c r="Q27" s="59">
        <f t="shared" ref="Q27" si="3">Q26-Q2</f>
        <v>80.78000000002794</v>
      </c>
      <c r="R27" s="59">
        <f t="shared" ref="R27:S27" si="4">R26-R2</f>
        <v>80.28000000002794</v>
      </c>
      <c r="S27" s="59">
        <f t="shared" si="4"/>
        <v>79.599999999976717</v>
      </c>
      <c r="T27" s="59">
        <f t="shared" ref="T27" si="5">T26-T2</f>
        <v>63.379999999990105</v>
      </c>
      <c r="U27" s="59">
        <f t="shared" ref="U27" si="6">U26-U2</f>
        <v>21.800000000017462</v>
      </c>
    </row>
    <row r="28" spans="1:66" s="5" customFormat="1" ht="15" x14ac:dyDescent="0.3">
      <c r="A28" s="57" t="s">
        <v>139</v>
      </c>
      <c r="B28" s="53">
        <v>276.02</v>
      </c>
      <c r="C28" s="53">
        <v>2599264</v>
      </c>
      <c r="D28" s="53">
        <v>42200.69</v>
      </c>
      <c r="E28" s="53">
        <v>1126137.6299999999</v>
      </c>
      <c r="F28" s="53">
        <v>2060421.13</v>
      </c>
      <c r="G28" s="53">
        <v>2163144</v>
      </c>
      <c r="H28" s="53">
        <v>10046258</v>
      </c>
      <c r="I28" s="53">
        <v>300.87</v>
      </c>
      <c r="J28" s="53">
        <v>7556.66</v>
      </c>
      <c r="K28" s="53">
        <v>1122258.1299999999</v>
      </c>
      <c r="L28" s="53">
        <v>2038718.25</v>
      </c>
      <c r="M28" s="53">
        <v>2257639</v>
      </c>
      <c r="N28" s="53">
        <v>507.9</v>
      </c>
      <c r="O28" s="53">
        <v>18322.73</v>
      </c>
      <c r="P28" s="53">
        <v>203602.67</v>
      </c>
      <c r="Q28" s="53">
        <v>389108.22</v>
      </c>
      <c r="R28" s="53">
        <v>384333.91</v>
      </c>
      <c r="S28" s="53">
        <v>383151.44</v>
      </c>
      <c r="T28" s="53">
        <v>89460.58</v>
      </c>
      <c r="U28" s="53">
        <v>247233</v>
      </c>
      <c r="V28" s="53">
        <v>38.770000000000003</v>
      </c>
      <c r="W28" s="53">
        <v>39.01</v>
      </c>
      <c r="X28" s="53">
        <v>154.54</v>
      </c>
      <c r="Y28" s="53">
        <v>152.08000000000001</v>
      </c>
      <c r="Z28" s="53">
        <v>85.57</v>
      </c>
      <c r="AA28" s="53">
        <v>87.14</v>
      </c>
      <c r="AB28" s="53">
        <v>348.63</v>
      </c>
      <c r="AC28" s="53">
        <v>0.14000000000000001</v>
      </c>
      <c r="AD28" s="53">
        <v>-0.8</v>
      </c>
      <c r="AE28" s="53">
        <v>346.52</v>
      </c>
      <c r="AF28" s="53">
        <v>-0.01</v>
      </c>
      <c r="AG28" s="53">
        <v>67.95</v>
      </c>
      <c r="AH28" s="53">
        <v>100.86</v>
      </c>
      <c r="AI28" s="53">
        <v>103.75</v>
      </c>
      <c r="AJ28" s="53">
        <v>103.29</v>
      </c>
      <c r="AK28" s="53">
        <v>44.25</v>
      </c>
      <c r="AL28" s="53">
        <v>39.35</v>
      </c>
      <c r="AM28" s="53">
        <v>37.33</v>
      </c>
      <c r="AN28" s="53">
        <v>38.119999999999997</v>
      </c>
      <c r="AO28" s="53">
        <v>39.04</v>
      </c>
      <c r="AP28" s="53">
        <v>9590.31</v>
      </c>
      <c r="AQ28" s="53">
        <v>6.72</v>
      </c>
      <c r="AR28" s="53">
        <v>6.68</v>
      </c>
      <c r="AS28" s="53">
        <v>6.71</v>
      </c>
      <c r="AT28" s="53">
        <v>6.71</v>
      </c>
      <c r="AU28" s="53">
        <v>2970.52</v>
      </c>
      <c r="AV28" s="53">
        <v>126.32</v>
      </c>
      <c r="AW28" s="53">
        <v>119.02</v>
      </c>
      <c r="AX28" s="53">
        <v>2858.1</v>
      </c>
      <c r="AY28" s="53">
        <v>2951.33</v>
      </c>
      <c r="AZ28" s="53">
        <v>914.76</v>
      </c>
      <c r="BA28" s="53">
        <v>3471.7</v>
      </c>
      <c r="BB28" s="53">
        <v>3266.08</v>
      </c>
      <c r="BC28" s="53">
        <v>3141.36</v>
      </c>
      <c r="BD28" s="53">
        <v>3663.09</v>
      </c>
      <c r="BE28" s="53">
        <v>3560.54</v>
      </c>
      <c r="BF28" s="53">
        <v>3675.99</v>
      </c>
      <c r="BG28" s="53">
        <v>3569.41</v>
      </c>
      <c r="BH28" s="53">
        <v>2204.19</v>
      </c>
      <c r="BI28" s="53">
        <v>3497.17</v>
      </c>
      <c r="BJ28" s="53">
        <v>3500.56</v>
      </c>
      <c r="BK28" s="53">
        <v>3447.46</v>
      </c>
      <c r="BL28" s="53">
        <v>1598.26</v>
      </c>
      <c r="BM28" s="53">
        <v>3570.24</v>
      </c>
      <c r="BN28" s="53">
        <v>3520.11</v>
      </c>
    </row>
    <row r="29" spans="1:66" s="5" customFormat="1" ht="15" x14ac:dyDescent="0.3">
      <c r="A29" s="57" t="s">
        <v>140</v>
      </c>
      <c r="B29" s="53">
        <v>271.68</v>
      </c>
      <c r="C29" s="53">
        <v>2599298.5</v>
      </c>
      <c r="D29" s="53">
        <v>42200.69</v>
      </c>
      <c r="E29" s="53">
        <v>1126172.25</v>
      </c>
      <c r="F29" s="53">
        <v>2060479</v>
      </c>
      <c r="G29" s="53">
        <v>2163204.75</v>
      </c>
      <c r="H29" s="53">
        <v>10046325</v>
      </c>
      <c r="I29" s="53">
        <v>300.87</v>
      </c>
      <c r="J29" s="53">
        <v>7556.76</v>
      </c>
      <c r="K29" s="53">
        <v>1122290.6299999999</v>
      </c>
      <c r="L29" s="53">
        <v>2038774.38</v>
      </c>
      <c r="M29" s="53">
        <v>2257708.25</v>
      </c>
      <c r="N29" s="53">
        <v>507.9</v>
      </c>
      <c r="O29" s="53">
        <v>18322.73</v>
      </c>
      <c r="P29" s="53">
        <v>203605.86</v>
      </c>
      <c r="Q29" s="53">
        <v>389111.31</v>
      </c>
      <c r="R29" s="53">
        <v>384337.31</v>
      </c>
      <c r="S29" s="53">
        <v>383154.84</v>
      </c>
      <c r="T29" s="53">
        <v>89462.19</v>
      </c>
      <c r="U29" s="53">
        <v>247234.56</v>
      </c>
      <c r="V29" s="53">
        <v>38.770000000000003</v>
      </c>
      <c r="W29" s="53">
        <v>39.01</v>
      </c>
      <c r="X29" s="53">
        <v>154.41</v>
      </c>
      <c r="Y29" s="53">
        <v>152.11000000000001</v>
      </c>
      <c r="Z29" s="53">
        <v>85.66</v>
      </c>
      <c r="AA29" s="53">
        <v>87.21</v>
      </c>
      <c r="AB29" s="53">
        <v>342.27</v>
      </c>
      <c r="AC29" s="53">
        <v>0.14000000000000001</v>
      </c>
      <c r="AD29" s="53">
        <v>-0.8</v>
      </c>
      <c r="AE29" s="53">
        <v>339.63</v>
      </c>
      <c r="AF29" s="53">
        <v>-0.01</v>
      </c>
      <c r="AG29" s="53">
        <v>67.349999999999994</v>
      </c>
      <c r="AH29" s="53">
        <v>101.06</v>
      </c>
      <c r="AI29" s="53">
        <v>103.75</v>
      </c>
      <c r="AJ29" s="53">
        <v>103.44</v>
      </c>
      <c r="AK29" s="53">
        <v>44.35</v>
      </c>
      <c r="AL29" s="53">
        <v>39.4</v>
      </c>
      <c r="AM29" s="53">
        <v>37.450000000000003</v>
      </c>
      <c r="AN29" s="53">
        <v>38.119999999999997</v>
      </c>
      <c r="AO29" s="53">
        <v>38.729999999999997</v>
      </c>
      <c r="AP29" s="53">
        <v>9438.33</v>
      </c>
      <c r="AQ29" s="53">
        <v>6.72</v>
      </c>
      <c r="AR29" s="53">
        <v>6.68</v>
      </c>
      <c r="AS29" s="53">
        <v>6.71</v>
      </c>
      <c r="AT29" s="53">
        <v>6.71</v>
      </c>
      <c r="AU29" s="53">
        <v>2970.6</v>
      </c>
      <c r="AV29" s="53">
        <v>126.32</v>
      </c>
      <c r="AW29" s="53">
        <v>119.02</v>
      </c>
      <c r="AX29" s="53">
        <v>2858.18</v>
      </c>
      <c r="AY29" s="53">
        <v>2951.33</v>
      </c>
      <c r="AZ29" s="53">
        <v>914.84</v>
      </c>
      <c r="BA29" s="53">
        <v>3471.78</v>
      </c>
      <c r="BB29" s="53">
        <v>3266.17</v>
      </c>
      <c r="BC29" s="53">
        <v>3141.44</v>
      </c>
      <c r="BD29" s="53">
        <v>3663.17</v>
      </c>
      <c r="BE29" s="53">
        <v>3560.62</v>
      </c>
      <c r="BF29" s="53">
        <v>3676.07</v>
      </c>
      <c r="BG29" s="53">
        <v>3569.49</v>
      </c>
      <c r="BH29" s="53">
        <v>2204.27</v>
      </c>
      <c r="BI29" s="53">
        <v>3497.26</v>
      </c>
      <c r="BJ29" s="53">
        <v>3500.64</v>
      </c>
      <c r="BK29" s="53">
        <v>3447.54</v>
      </c>
      <c r="BL29" s="53">
        <v>1598.35</v>
      </c>
      <c r="BM29" s="53">
        <v>3570.32</v>
      </c>
      <c r="BN29" s="53">
        <v>3520.19</v>
      </c>
    </row>
    <row r="30" spans="1:66" s="5" customFormat="1" ht="15" x14ac:dyDescent="0.3">
      <c r="A30" s="57" t="s">
        <v>141</v>
      </c>
      <c r="B30" s="53">
        <v>270.37</v>
      </c>
      <c r="C30" s="53">
        <v>2599333</v>
      </c>
      <c r="D30" s="53">
        <v>42200.69</v>
      </c>
      <c r="E30" s="53">
        <v>1126206.8799999999</v>
      </c>
      <c r="F30" s="53">
        <v>2060536.38</v>
      </c>
      <c r="G30" s="53">
        <v>2163265</v>
      </c>
      <c r="H30" s="53">
        <v>10046392</v>
      </c>
      <c r="I30" s="53">
        <v>300.87</v>
      </c>
      <c r="J30" s="53">
        <v>7556.86</v>
      </c>
      <c r="K30" s="53">
        <v>1122323.25</v>
      </c>
      <c r="L30" s="53">
        <v>2038830.38</v>
      </c>
      <c r="M30" s="53">
        <v>2257777</v>
      </c>
      <c r="N30" s="53">
        <v>507.9</v>
      </c>
      <c r="O30" s="53">
        <v>18322.73</v>
      </c>
      <c r="P30" s="53">
        <v>203609.03</v>
      </c>
      <c r="Q30" s="53">
        <v>389114.41</v>
      </c>
      <c r="R30" s="53">
        <v>384340.13</v>
      </c>
      <c r="S30" s="53">
        <v>383158.22</v>
      </c>
      <c r="T30" s="53">
        <v>89464.33</v>
      </c>
      <c r="U30" s="53">
        <v>247235.41</v>
      </c>
      <c r="V30" s="53">
        <v>38.79</v>
      </c>
      <c r="W30" s="53">
        <v>39.01</v>
      </c>
      <c r="X30" s="53">
        <v>153.80000000000001</v>
      </c>
      <c r="Y30" s="53">
        <v>151.91999999999999</v>
      </c>
      <c r="Z30" s="53">
        <v>85.89</v>
      </c>
      <c r="AA30" s="53">
        <v>87.24</v>
      </c>
      <c r="AB30" s="53">
        <v>339.43</v>
      </c>
      <c r="AC30" s="53">
        <v>0.14000000000000001</v>
      </c>
      <c r="AD30" s="53">
        <v>-0.8</v>
      </c>
      <c r="AE30" s="53">
        <v>336.82</v>
      </c>
      <c r="AF30" s="53">
        <v>-0.01</v>
      </c>
      <c r="AG30" s="53">
        <v>66.97</v>
      </c>
      <c r="AH30" s="53">
        <v>100.95</v>
      </c>
      <c r="AI30" s="53">
        <v>103.75</v>
      </c>
      <c r="AJ30" s="53">
        <v>102.89</v>
      </c>
      <c r="AK30" s="53">
        <v>44.44</v>
      </c>
      <c r="AL30" s="53">
        <v>39.4</v>
      </c>
      <c r="AM30" s="53">
        <v>37.43</v>
      </c>
      <c r="AN30" s="53">
        <v>38.15</v>
      </c>
      <c r="AO30" s="53">
        <v>38.6</v>
      </c>
      <c r="AP30" s="53">
        <v>9384.3700000000008</v>
      </c>
      <c r="AQ30" s="53">
        <v>6.72</v>
      </c>
      <c r="AR30" s="53">
        <v>6.68</v>
      </c>
      <c r="AS30" s="53">
        <v>6.71</v>
      </c>
      <c r="AT30" s="53">
        <v>6.71</v>
      </c>
      <c r="AU30" s="53">
        <v>2970.68</v>
      </c>
      <c r="AV30" s="53">
        <v>126.32</v>
      </c>
      <c r="AW30" s="53">
        <v>119.02</v>
      </c>
      <c r="AX30" s="53">
        <v>2858.27</v>
      </c>
      <c r="AY30" s="53">
        <v>2951.33</v>
      </c>
      <c r="AZ30" s="53">
        <v>914.93</v>
      </c>
      <c r="BA30" s="53">
        <v>3471.86</v>
      </c>
      <c r="BB30" s="53">
        <v>3266.25</v>
      </c>
      <c r="BC30" s="53">
        <v>3141.53</v>
      </c>
      <c r="BD30" s="53">
        <v>3663.26</v>
      </c>
      <c r="BE30" s="53">
        <v>3560.71</v>
      </c>
      <c r="BF30" s="53">
        <v>3676.16</v>
      </c>
      <c r="BG30" s="53">
        <v>3569.57</v>
      </c>
      <c r="BH30" s="53">
        <v>2204.35</v>
      </c>
      <c r="BI30" s="53">
        <v>3497.34</v>
      </c>
      <c r="BJ30" s="53">
        <v>3500.72</v>
      </c>
      <c r="BK30" s="53">
        <v>3447.62</v>
      </c>
      <c r="BL30" s="53">
        <v>1598.43</v>
      </c>
      <c r="BM30" s="53">
        <v>3570.4</v>
      </c>
      <c r="BN30" s="53">
        <v>3520.27</v>
      </c>
    </row>
    <row r="31" spans="1:66" s="5" customFormat="1" ht="15" x14ac:dyDescent="0.3">
      <c r="A31" s="57" t="s">
        <v>142</v>
      </c>
      <c r="B31" s="53">
        <v>268.95999999999998</v>
      </c>
      <c r="C31" s="53">
        <v>2599367.25</v>
      </c>
      <c r="D31" s="53">
        <v>42200.69</v>
      </c>
      <c r="E31" s="53">
        <v>1126241</v>
      </c>
      <c r="F31" s="53">
        <v>2060593.25</v>
      </c>
      <c r="G31" s="53">
        <v>2163324.5</v>
      </c>
      <c r="H31" s="53">
        <v>10046459</v>
      </c>
      <c r="I31" s="53">
        <v>300.87</v>
      </c>
      <c r="J31" s="53">
        <v>7556.96</v>
      </c>
      <c r="K31" s="53">
        <v>1122355.8799999999</v>
      </c>
      <c r="L31" s="53">
        <v>2038886.38</v>
      </c>
      <c r="M31" s="53">
        <v>2257845.25</v>
      </c>
      <c r="N31" s="53">
        <v>507.9</v>
      </c>
      <c r="O31" s="53">
        <v>18322.73</v>
      </c>
      <c r="P31" s="53">
        <v>203612.22</v>
      </c>
      <c r="Q31" s="53">
        <v>389117.5</v>
      </c>
      <c r="R31" s="53">
        <v>384343.47</v>
      </c>
      <c r="S31" s="53">
        <v>383161.03</v>
      </c>
      <c r="T31" s="53">
        <v>89465.919999999998</v>
      </c>
      <c r="U31" s="53">
        <v>247237.64</v>
      </c>
      <c r="V31" s="53">
        <v>38.799999999999997</v>
      </c>
      <c r="W31" s="53">
        <v>39.01</v>
      </c>
      <c r="X31" s="53">
        <v>154.62</v>
      </c>
      <c r="Y31" s="53">
        <v>152.07</v>
      </c>
      <c r="Z31" s="53">
        <v>85.92</v>
      </c>
      <c r="AA31" s="53">
        <v>87.24</v>
      </c>
      <c r="AB31" s="53">
        <v>336.03</v>
      </c>
      <c r="AC31" s="53">
        <v>0.14000000000000001</v>
      </c>
      <c r="AD31" s="53">
        <v>-0.8</v>
      </c>
      <c r="AE31" s="53">
        <v>332.95</v>
      </c>
      <c r="AF31" s="53">
        <v>-0.01</v>
      </c>
      <c r="AG31" s="53">
        <v>66.790000000000006</v>
      </c>
      <c r="AH31" s="53">
        <v>100.63</v>
      </c>
      <c r="AI31" s="53">
        <v>103.75</v>
      </c>
      <c r="AJ31" s="53">
        <v>102.89</v>
      </c>
      <c r="AK31" s="53">
        <v>44.41</v>
      </c>
      <c r="AL31" s="53">
        <v>39.46</v>
      </c>
      <c r="AM31" s="53">
        <v>37.46</v>
      </c>
      <c r="AN31" s="53">
        <v>38.200000000000003</v>
      </c>
      <c r="AO31" s="53">
        <v>38.6</v>
      </c>
      <c r="AP31" s="53">
        <v>9338.65</v>
      </c>
      <c r="AQ31" s="53">
        <v>6.72</v>
      </c>
      <c r="AR31" s="53">
        <v>6.68</v>
      </c>
      <c r="AS31" s="53">
        <v>6.71</v>
      </c>
      <c r="AT31" s="53">
        <v>6.71</v>
      </c>
      <c r="AU31" s="53">
        <v>2970.77</v>
      </c>
      <c r="AV31" s="53">
        <v>126.32</v>
      </c>
      <c r="AW31" s="53">
        <v>119.02</v>
      </c>
      <c r="AX31" s="53">
        <v>2858.35</v>
      </c>
      <c r="AY31" s="53">
        <v>2951.33</v>
      </c>
      <c r="AZ31" s="53">
        <v>915.01</v>
      </c>
      <c r="BA31" s="53">
        <v>3471.95</v>
      </c>
      <c r="BB31" s="53">
        <v>3266.33</v>
      </c>
      <c r="BC31" s="53">
        <v>3141.61</v>
      </c>
      <c r="BD31" s="53">
        <v>3663.34</v>
      </c>
      <c r="BE31" s="53">
        <v>3560.79</v>
      </c>
      <c r="BF31" s="53">
        <v>3676.24</v>
      </c>
      <c r="BG31" s="53">
        <v>3569.66</v>
      </c>
      <c r="BH31" s="53">
        <v>2204.44</v>
      </c>
      <c r="BI31" s="53">
        <v>3497.42</v>
      </c>
      <c r="BJ31" s="53">
        <v>3500.81</v>
      </c>
      <c r="BK31" s="53">
        <v>3447.71</v>
      </c>
      <c r="BL31" s="53">
        <v>1598.51</v>
      </c>
      <c r="BM31" s="53">
        <v>3570.49</v>
      </c>
      <c r="BN31" s="53">
        <v>3520.36</v>
      </c>
    </row>
    <row r="32" spans="1:66" s="5" customFormat="1" ht="15" x14ac:dyDescent="0.3">
      <c r="A32" s="57" t="s">
        <v>143</v>
      </c>
      <c r="B32" s="53">
        <v>270.63</v>
      </c>
      <c r="C32" s="53">
        <v>2599401.5</v>
      </c>
      <c r="D32" s="53">
        <v>42200.69</v>
      </c>
      <c r="E32" s="53">
        <v>1126275.25</v>
      </c>
      <c r="F32" s="53">
        <v>2060650</v>
      </c>
      <c r="G32" s="53">
        <v>2163384.25</v>
      </c>
      <c r="H32" s="53">
        <v>10046526</v>
      </c>
      <c r="I32" s="53">
        <v>300.87</v>
      </c>
      <c r="J32" s="53">
        <v>7557.07</v>
      </c>
      <c r="K32" s="53">
        <v>1122388.5</v>
      </c>
      <c r="L32" s="53">
        <v>2038942.5</v>
      </c>
      <c r="M32" s="53">
        <v>2257913.75</v>
      </c>
      <c r="N32" s="53">
        <v>507.9</v>
      </c>
      <c r="O32" s="53">
        <v>18322.73</v>
      </c>
      <c r="P32" s="53">
        <v>203615.39</v>
      </c>
      <c r="Q32" s="53">
        <v>389120.59</v>
      </c>
      <c r="R32" s="53">
        <v>384346.5</v>
      </c>
      <c r="S32" s="53">
        <v>383164.34</v>
      </c>
      <c r="T32" s="53">
        <v>89467.86</v>
      </c>
      <c r="U32" s="53">
        <v>247239.55</v>
      </c>
      <c r="V32" s="53">
        <v>39.18</v>
      </c>
      <c r="W32" s="53">
        <v>39.020000000000003</v>
      </c>
      <c r="X32" s="53">
        <v>154.85</v>
      </c>
      <c r="Y32" s="53">
        <v>152.18</v>
      </c>
      <c r="Z32" s="53">
        <v>85.89</v>
      </c>
      <c r="AA32" s="53">
        <v>87.35</v>
      </c>
      <c r="AB32" s="53">
        <v>339.56</v>
      </c>
      <c r="AC32" s="53">
        <v>0.14000000000000001</v>
      </c>
      <c r="AD32" s="53">
        <v>-0.8</v>
      </c>
      <c r="AE32" s="53">
        <v>335.97</v>
      </c>
      <c r="AF32" s="53">
        <v>-0.01</v>
      </c>
      <c r="AG32" s="53">
        <v>66.98</v>
      </c>
      <c r="AH32" s="53">
        <v>100.85</v>
      </c>
      <c r="AI32" s="53">
        <v>103.87</v>
      </c>
      <c r="AJ32" s="53">
        <v>103.19</v>
      </c>
      <c r="AK32" s="53">
        <v>44.52</v>
      </c>
      <c r="AL32" s="53">
        <v>39.57</v>
      </c>
      <c r="AM32" s="53">
        <v>37.369999999999997</v>
      </c>
      <c r="AN32" s="53">
        <v>38.03</v>
      </c>
      <c r="AO32" s="53">
        <v>38.69</v>
      </c>
      <c r="AP32" s="53">
        <v>9405.3799999999992</v>
      </c>
      <c r="AQ32" s="53">
        <v>6.73</v>
      </c>
      <c r="AR32" s="53">
        <v>6.69</v>
      </c>
      <c r="AS32" s="53">
        <v>6.72</v>
      </c>
      <c r="AT32" s="53">
        <v>6.72</v>
      </c>
      <c r="AU32" s="53">
        <v>2970.85</v>
      </c>
      <c r="AV32" s="53">
        <v>126.32</v>
      </c>
      <c r="AW32" s="53">
        <v>119.02</v>
      </c>
      <c r="AX32" s="53">
        <v>2858.43</v>
      </c>
      <c r="AY32" s="53">
        <v>2951.33</v>
      </c>
      <c r="AZ32" s="53">
        <v>915.09</v>
      </c>
      <c r="BA32" s="53">
        <v>3472.03</v>
      </c>
      <c r="BB32" s="53">
        <v>3266.42</v>
      </c>
      <c r="BC32" s="53">
        <v>3141.69</v>
      </c>
      <c r="BD32" s="53">
        <v>3663.42</v>
      </c>
      <c r="BE32" s="53">
        <v>3560.87</v>
      </c>
      <c r="BF32" s="53">
        <v>3676.32</v>
      </c>
      <c r="BG32" s="53">
        <v>3569.74</v>
      </c>
      <c r="BH32" s="53">
        <v>2204.52</v>
      </c>
      <c r="BI32" s="53">
        <v>3497.51</v>
      </c>
      <c r="BJ32" s="53">
        <v>3500.89</v>
      </c>
      <c r="BK32" s="53">
        <v>3447.79</v>
      </c>
      <c r="BL32" s="53">
        <v>1598.6</v>
      </c>
      <c r="BM32" s="53">
        <v>3570.57</v>
      </c>
      <c r="BN32" s="53">
        <v>3520.44</v>
      </c>
    </row>
    <row r="33" spans="1:66" s="5" customFormat="1" ht="15" x14ac:dyDescent="0.3">
      <c r="A33" s="57" t="s">
        <v>144</v>
      </c>
      <c r="B33" s="53">
        <v>271.8</v>
      </c>
      <c r="C33" s="53">
        <v>2599436</v>
      </c>
      <c r="D33" s="53">
        <v>42200.69</v>
      </c>
      <c r="E33" s="53">
        <v>1126309.8799999999</v>
      </c>
      <c r="F33" s="53">
        <v>2060707.5</v>
      </c>
      <c r="G33" s="53">
        <v>2163444.5</v>
      </c>
      <c r="H33" s="53">
        <v>10046593</v>
      </c>
      <c r="I33" s="53">
        <v>300.87</v>
      </c>
      <c r="J33" s="53">
        <v>7557.17</v>
      </c>
      <c r="K33" s="53">
        <v>1122421.1299999999</v>
      </c>
      <c r="L33" s="53">
        <v>2038998.63</v>
      </c>
      <c r="M33" s="53">
        <v>2257982.75</v>
      </c>
      <c r="N33" s="53">
        <v>507.9</v>
      </c>
      <c r="O33" s="53">
        <v>18322.73</v>
      </c>
      <c r="P33" s="53">
        <v>203618.58</v>
      </c>
      <c r="Q33" s="53">
        <v>389123.69</v>
      </c>
      <c r="R33" s="53">
        <v>384349.84</v>
      </c>
      <c r="S33" s="53">
        <v>383167.75</v>
      </c>
      <c r="T33" s="53">
        <v>89469.97</v>
      </c>
      <c r="U33" s="53">
        <v>247240.33</v>
      </c>
      <c r="V33" s="53">
        <v>39.18</v>
      </c>
      <c r="W33" s="53">
        <v>39.020000000000003</v>
      </c>
      <c r="X33" s="53">
        <v>154.29</v>
      </c>
      <c r="Y33" s="53">
        <v>152.66999999999999</v>
      </c>
      <c r="Z33" s="53">
        <v>85.89</v>
      </c>
      <c r="AA33" s="53">
        <v>87.25</v>
      </c>
      <c r="AB33" s="53">
        <v>342.57</v>
      </c>
      <c r="AC33" s="53">
        <v>0.14000000000000001</v>
      </c>
      <c r="AD33" s="53">
        <v>-0.8</v>
      </c>
      <c r="AE33" s="53">
        <v>339.37</v>
      </c>
      <c r="AF33" s="53">
        <v>-0.01</v>
      </c>
      <c r="AG33" s="53">
        <v>67.13</v>
      </c>
      <c r="AH33" s="53">
        <v>100.85</v>
      </c>
      <c r="AI33" s="53">
        <v>103.87</v>
      </c>
      <c r="AJ33" s="53">
        <v>103.19</v>
      </c>
      <c r="AK33" s="53">
        <v>44.59</v>
      </c>
      <c r="AL33" s="53">
        <v>39.619999999999997</v>
      </c>
      <c r="AM33" s="53">
        <v>37.36</v>
      </c>
      <c r="AN33" s="53">
        <v>38.130000000000003</v>
      </c>
      <c r="AO33" s="53">
        <v>38.5</v>
      </c>
      <c r="AP33" s="53">
        <v>9463.82</v>
      </c>
      <c r="AQ33" s="53">
        <v>6.73</v>
      </c>
      <c r="AR33" s="53">
        <v>6.69</v>
      </c>
      <c r="AS33" s="53">
        <v>6.72</v>
      </c>
      <c r="AT33" s="53">
        <v>6.72</v>
      </c>
      <c r="AU33" s="53">
        <v>2970.93</v>
      </c>
      <c r="AV33" s="53">
        <v>126.32</v>
      </c>
      <c r="AW33" s="53">
        <v>119.02</v>
      </c>
      <c r="AX33" s="53">
        <v>2858.52</v>
      </c>
      <c r="AY33" s="53">
        <v>2951.33</v>
      </c>
      <c r="AZ33" s="53">
        <v>915.18</v>
      </c>
      <c r="BA33" s="53">
        <v>3472.11</v>
      </c>
      <c r="BB33" s="53">
        <v>3266.5</v>
      </c>
      <c r="BC33" s="53">
        <v>3141.78</v>
      </c>
      <c r="BD33" s="53">
        <v>3663.51</v>
      </c>
      <c r="BE33" s="53">
        <v>3560.96</v>
      </c>
      <c r="BF33" s="53">
        <v>3676.41</v>
      </c>
      <c r="BG33" s="53">
        <v>3569.82</v>
      </c>
      <c r="BH33" s="53">
        <v>2204.61</v>
      </c>
      <c r="BI33" s="53">
        <v>3497.59</v>
      </c>
      <c r="BJ33" s="53">
        <v>3500.97</v>
      </c>
      <c r="BK33" s="53">
        <v>3447.87</v>
      </c>
      <c r="BL33" s="53">
        <v>1598.68</v>
      </c>
      <c r="BM33" s="53">
        <v>3570.65</v>
      </c>
      <c r="BN33" s="53">
        <v>3520.52</v>
      </c>
    </row>
    <row r="34" spans="1:66" s="5" customFormat="1" ht="15" x14ac:dyDescent="0.3">
      <c r="A34" s="57" t="s">
        <v>145</v>
      </c>
      <c r="B34" s="53">
        <v>271.77</v>
      </c>
      <c r="C34" s="53">
        <v>2599470.5</v>
      </c>
      <c r="D34" s="53">
        <v>42200.69</v>
      </c>
      <c r="E34" s="53">
        <v>1126344.5</v>
      </c>
      <c r="F34" s="53">
        <v>2060765.5</v>
      </c>
      <c r="G34" s="53">
        <v>2163505.25</v>
      </c>
      <c r="H34" s="53">
        <v>10046660</v>
      </c>
      <c r="I34" s="53">
        <v>300.87</v>
      </c>
      <c r="J34" s="53">
        <v>7557.27</v>
      </c>
      <c r="K34" s="53">
        <v>1122453.8799999999</v>
      </c>
      <c r="L34" s="53">
        <v>2039054.75</v>
      </c>
      <c r="M34" s="53">
        <v>2258052</v>
      </c>
      <c r="N34" s="53">
        <v>507.9</v>
      </c>
      <c r="O34" s="53">
        <v>18322.73</v>
      </c>
      <c r="P34" s="53">
        <v>203621.75</v>
      </c>
      <c r="Q34" s="53">
        <v>389126.78</v>
      </c>
      <c r="R34" s="53">
        <v>384353.19</v>
      </c>
      <c r="S34" s="53">
        <v>383170.59</v>
      </c>
      <c r="T34" s="53">
        <v>89471.55</v>
      </c>
      <c r="U34" s="53">
        <v>247242.42</v>
      </c>
      <c r="V34" s="53">
        <v>39.18</v>
      </c>
      <c r="W34" s="53">
        <v>39.020000000000003</v>
      </c>
      <c r="X34" s="53">
        <v>154.37</v>
      </c>
      <c r="Y34" s="53">
        <v>152.29</v>
      </c>
      <c r="Z34" s="53">
        <v>86.13</v>
      </c>
      <c r="AA34" s="53">
        <v>87.34</v>
      </c>
      <c r="AB34" s="53">
        <v>341.23</v>
      </c>
      <c r="AC34" s="53">
        <v>0.14000000000000001</v>
      </c>
      <c r="AD34" s="53">
        <v>-0.8</v>
      </c>
      <c r="AE34" s="53">
        <v>338.72</v>
      </c>
      <c r="AF34" s="53">
        <v>-0.01</v>
      </c>
      <c r="AG34" s="53">
        <v>67.33</v>
      </c>
      <c r="AH34" s="53">
        <v>100.85</v>
      </c>
      <c r="AI34" s="53">
        <v>103.87</v>
      </c>
      <c r="AJ34" s="53">
        <v>103.19</v>
      </c>
      <c r="AK34" s="53">
        <v>44.67</v>
      </c>
      <c r="AL34" s="53">
        <v>39.68</v>
      </c>
      <c r="AM34" s="53">
        <v>37.35</v>
      </c>
      <c r="AN34" s="53">
        <v>38.130000000000003</v>
      </c>
      <c r="AO34" s="53">
        <v>38.57</v>
      </c>
      <c r="AP34" s="53">
        <v>9446.86</v>
      </c>
      <c r="AQ34" s="53">
        <v>6.73</v>
      </c>
      <c r="AR34" s="53">
        <v>6.69</v>
      </c>
      <c r="AS34" s="53">
        <v>6.72</v>
      </c>
      <c r="AT34" s="53">
        <v>6.72</v>
      </c>
      <c r="AU34" s="53">
        <v>2971.02</v>
      </c>
      <c r="AV34" s="53">
        <v>126.32</v>
      </c>
      <c r="AW34" s="53">
        <v>119.02</v>
      </c>
      <c r="AX34" s="53">
        <v>2858.6</v>
      </c>
      <c r="AY34" s="53">
        <v>2951.33</v>
      </c>
      <c r="AZ34" s="53">
        <v>915.26</v>
      </c>
      <c r="BA34" s="53">
        <v>3472.2</v>
      </c>
      <c r="BB34" s="53">
        <v>3266.58</v>
      </c>
      <c r="BC34" s="53">
        <v>3141.86</v>
      </c>
      <c r="BD34" s="53">
        <v>3663.59</v>
      </c>
      <c r="BE34" s="53">
        <v>3561.04</v>
      </c>
      <c r="BF34" s="53">
        <v>3676.49</v>
      </c>
      <c r="BG34" s="53">
        <v>3569.91</v>
      </c>
      <c r="BH34" s="53">
        <v>2204.69</v>
      </c>
      <c r="BI34" s="53">
        <v>3497.67</v>
      </c>
      <c r="BJ34" s="53">
        <v>3501.06</v>
      </c>
      <c r="BK34" s="53">
        <v>3447.96</v>
      </c>
      <c r="BL34" s="53">
        <v>1598.76</v>
      </c>
      <c r="BM34" s="53">
        <v>3570.74</v>
      </c>
      <c r="BN34" s="53">
        <v>3520.61</v>
      </c>
    </row>
    <row r="35" spans="1:66" s="5" customFormat="1" ht="15" x14ac:dyDescent="0.3">
      <c r="A35" s="57" t="s">
        <v>146</v>
      </c>
      <c r="B35" s="53">
        <v>270.38</v>
      </c>
      <c r="C35" s="53">
        <v>2599505</v>
      </c>
      <c r="D35" s="53">
        <v>42200.69</v>
      </c>
      <c r="E35" s="53">
        <v>1126378.8799999999</v>
      </c>
      <c r="F35" s="53">
        <v>2060822.75</v>
      </c>
      <c r="G35" s="53">
        <v>2163565.5</v>
      </c>
      <c r="H35" s="53">
        <v>10046727</v>
      </c>
      <c r="I35" s="53">
        <v>300.87</v>
      </c>
      <c r="J35" s="53">
        <v>7557.37</v>
      </c>
      <c r="K35" s="53">
        <v>1122486.5</v>
      </c>
      <c r="L35" s="53">
        <v>2039110.88</v>
      </c>
      <c r="M35" s="53">
        <v>2258120.75</v>
      </c>
      <c r="N35" s="53">
        <v>507.9</v>
      </c>
      <c r="O35" s="53">
        <v>18322.73</v>
      </c>
      <c r="P35" s="53">
        <v>203624.92</v>
      </c>
      <c r="Q35" s="53">
        <v>389129.88</v>
      </c>
      <c r="R35" s="53">
        <v>384355.97</v>
      </c>
      <c r="S35" s="53">
        <v>383173.97</v>
      </c>
      <c r="T35" s="53">
        <v>89473.66</v>
      </c>
      <c r="U35" s="53">
        <v>247245.36</v>
      </c>
      <c r="V35" s="53">
        <v>39.18</v>
      </c>
      <c r="W35" s="53">
        <v>39.020000000000003</v>
      </c>
      <c r="X35" s="53">
        <v>154.16999999999999</v>
      </c>
      <c r="Y35" s="53">
        <v>151.65</v>
      </c>
      <c r="Z35" s="53">
        <v>86.29</v>
      </c>
      <c r="AA35" s="53">
        <v>87.79</v>
      </c>
      <c r="AB35" s="53">
        <v>339.42</v>
      </c>
      <c r="AC35" s="53">
        <v>0.14000000000000001</v>
      </c>
      <c r="AD35" s="53">
        <v>-0.8</v>
      </c>
      <c r="AE35" s="53">
        <v>336.21</v>
      </c>
      <c r="AF35" s="53">
        <v>-0.01</v>
      </c>
      <c r="AG35" s="53">
        <v>67.010000000000005</v>
      </c>
      <c r="AH35" s="53">
        <v>100.85</v>
      </c>
      <c r="AI35" s="53">
        <v>103.87</v>
      </c>
      <c r="AJ35" s="53">
        <v>103.19</v>
      </c>
      <c r="AK35" s="53">
        <v>44.67</v>
      </c>
      <c r="AL35" s="53">
        <v>39.74</v>
      </c>
      <c r="AM35" s="53">
        <v>37.42</v>
      </c>
      <c r="AN35" s="53">
        <v>38.11</v>
      </c>
      <c r="AO35" s="53">
        <v>38.43</v>
      </c>
      <c r="AP35" s="53">
        <v>9417.61</v>
      </c>
      <c r="AQ35" s="53">
        <v>6.73</v>
      </c>
      <c r="AR35" s="53">
        <v>6.69</v>
      </c>
      <c r="AS35" s="53">
        <v>6.72</v>
      </c>
      <c r="AT35" s="53">
        <v>6.72</v>
      </c>
      <c r="AU35" s="53">
        <v>2971.1</v>
      </c>
      <c r="AV35" s="53">
        <v>126.32</v>
      </c>
      <c r="AW35" s="53">
        <v>119.02</v>
      </c>
      <c r="AX35" s="53">
        <v>2858.68</v>
      </c>
      <c r="AY35" s="53">
        <v>2951.33</v>
      </c>
      <c r="AZ35" s="53">
        <v>915.34</v>
      </c>
      <c r="BA35" s="53">
        <v>3472.28</v>
      </c>
      <c r="BB35" s="53">
        <v>3266.67</v>
      </c>
      <c r="BC35" s="53">
        <v>3141.94</v>
      </c>
      <c r="BD35" s="53">
        <v>3663.67</v>
      </c>
      <c r="BE35" s="53">
        <v>3561.12</v>
      </c>
      <c r="BF35" s="53">
        <v>3676.57</v>
      </c>
      <c r="BG35" s="53">
        <v>3569.99</v>
      </c>
      <c r="BH35" s="53">
        <v>2204.77</v>
      </c>
      <c r="BI35" s="53">
        <v>3497.76</v>
      </c>
      <c r="BJ35" s="53">
        <v>3501.14</v>
      </c>
      <c r="BK35" s="53">
        <v>3448.04</v>
      </c>
      <c r="BL35" s="53">
        <v>1598.85</v>
      </c>
      <c r="BM35" s="53">
        <v>3570.82</v>
      </c>
      <c r="BN35" s="53">
        <v>3520.69</v>
      </c>
    </row>
    <row r="36" spans="1:66" s="5" customFormat="1" ht="15" x14ac:dyDescent="0.3">
      <c r="A36" s="57" t="s">
        <v>147</v>
      </c>
      <c r="B36" s="53">
        <v>271.95</v>
      </c>
      <c r="C36" s="53">
        <v>2599539.5</v>
      </c>
      <c r="D36" s="53">
        <v>42200.69</v>
      </c>
      <c r="E36" s="53">
        <v>1126413.3799999999</v>
      </c>
      <c r="F36" s="53">
        <v>2060880</v>
      </c>
      <c r="G36" s="53">
        <v>2163625.5</v>
      </c>
      <c r="H36" s="53">
        <v>10046795</v>
      </c>
      <c r="I36" s="53">
        <v>300.87</v>
      </c>
      <c r="J36" s="53">
        <v>7557.48</v>
      </c>
      <c r="K36" s="53">
        <v>1122519</v>
      </c>
      <c r="L36" s="53">
        <v>2039167</v>
      </c>
      <c r="M36" s="53">
        <v>2258189.5</v>
      </c>
      <c r="N36" s="53">
        <v>507.9</v>
      </c>
      <c r="O36" s="53">
        <v>18322.73</v>
      </c>
      <c r="P36" s="53">
        <v>203628.09</v>
      </c>
      <c r="Q36" s="53">
        <v>389132.97</v>
      </c>
      <c r="R36" s="53">
        <v>384359.31</v>
      </c>
      <c r="S36" s="53">
        <v>383177.41</v>
      </c>
      <c r="T36" s="53">
        <v>89475.26</v>
      </c>
      <c r="U36" s="53">
        <v>247246.22</v>
      </c>
      <c r="V36" s="53">
        <v>39.18</v>
      </c>
      <c r="W36" s="53">
        <v>39.020000000000003</v>
      </c>
      <c r="X36" s="53">
        <v>154.04</v>
      </c>
      <c r="Y36" s="53">
        <v>151.93</v>
      </c>
      <c r="Z36" s="53">
        <v>85.68</v>
      </c>
      <c r="AA36" s="53">
        <v>87.43</v>
      </c>
      <c r="AB36" s="53">
        <v>342.31</v>
      </c>
      <c r="AC36" s="53">
        <v>0.14000000000000001</v>
      </c>
      <c r="AD36" s="53">
        <v>-0.8</v>
      </c>
      <c r="AE36" s="53">
        <v>339</v>
      </c>
      <c r="AF36" s="53">
        <v>-0.01</v>
      </c>
      <c r="AG36" s="53">
        <v>67.02</v>
      </c>
      <c r="AH36" s="53">
        <v>100.85</v>
      </c>
      <c r="AI36" s="53">
        <v>103.87</v>
      </c>
      <c r="AJ36" s="53">
        <v>103.19</v>
      </c>
      <c r="AK36" s="53">
        <v>44.71</v>
      </c>
      <c r="AL36" s="53">
        <v>39.92</v>
      </c>
      <c r="AM36" s="53">
        <v>37.479999999999997</v>
      </c>
      <c r="AN36" s="53">
        <v>38.07</v>
      </c>
      <c r="AO36" s="53">
        <v>38.520000000000003</v>
      </c>
      <c r="AP36" s="53">
        <v>9469.93</v>
      </c>
      <c r="AQ36" s="53">
        <v>6.73</v>
      </c>
      <c r="AR36" s="53">
        <v>6.69</v>
      </c>
      <c r="AS36" s="53">
        <v>6.72</v>
      </c>
      <c r="AT36" s="53">
        <v>6.72</v>
      </c>
      <c r="AU36" s="53">
        <v>2971.18</v>
      </c>
      <c r="AV36" s="53">
        <v>126.32</v>
      </c>
      <c r="AW36" s="53">
        <v>119.02</v>
      </c>
      <c r="AX36" s="53">
        <v>2858.77</v>
      </c>
      <c r="AY36" s="53">
        <v>2951.33</v>
      </c>
      <c r="AZ36" s="53">
        <v>915.43</v>
      </c>
      <c r="BA36" s="53">
        <v>3472.36</v>
      </c>
      <c r="BB36" s="53">
        <v>3266.75</v>
      </c>
      <c r="BC36" s="53">
        <v>3142.03</v>
      </c>
      <c r="BD36" s="53">
        <v>3663.76</v>
      </c>
      <c r="BE36" s="53">
        <v>3561.21</v>
      </c>
      <c r="BF36" s="53">
        <v>3676.66</v>
      </c>
      <c r="BG36" s="53">
        <v>3570.07</v>
      </c>
      <c r="BH36" s="53">
        <v>2204.85</v>
      </c>
      <c r="BI36" s="53">
        <v>3497.84</v>
      </c>
      <c r="BJ36" s="53">
        <v>3501.22</v>
      </c>
      <c r="BK36" s="53">
        <v>3448.12</v>
      </c>
      <c r="BL36" s="53">
        <v>1598.93</v>
      </c>
      <c r="BM36" s="53">
        <v>3570.9</v>
      </c>
      <c r="BN36" s="53">
        <v>3520.77</v>
      </c>
    </row>
    <row r="37" spans="1:66" s="5" customFormat="1" ht="15" x14ac:dyDescent="0.3">
      <c r="A37" s="57" t="s">
        <v>148</v>
      </c>
      <c r="B37" s="53">
        <v>271.93</v>
      </c>
      <c r="C37" s="53">
        <v>2599574</v>
      </c>
      <c r="D37" s="53">
        <v>42200.69</v>
      </c>
      <c r="E37" s="53">
        <v>1126448.1299999999</v>
      </c>
      <c r="F37" s="53">
        <v>2060937.75</v>
      </c>
      <c r="G37" s="53">
        <v>2163686.25</v>
      </c>
      <c r="H37" s="53">
        <v>10046862</v>
      </c>
      <c r="I37" s="53">
        <v>300.87</v>
      </c>
      <c r="J37" s="53">
        <v>7557.58</v>
      </c>
      <c r="K37" s="53">
        <v>1122551.25</v>
      </c>
      <c r="L37" s="53">
        <v>2039223.25</v>
      </c>
      <c r="M37" s="53">
        <v>2258258.75</v>
      </c>
      <c r="N37" s="53">
        <v>507.9</v>
      </c>
      <c r="O37" s="53">
        <v>18322.73</v>
      </c>
      <c r="P37" s="53">
        <v>203631.13</v>
      </c>
      <c r="Q37" s="53">
        <v>389136.13</v>
      </c>
      <c r="R37" s="53">
        <v>384362.69</v>
      </c>
      <c r="S37" s="53">
        <v>383180.25</v>
      </c>
      <c r="T37" s="53">
        <v>89477.38</v>
      </c>
      <c r="U37" s="53">
        <v>247247.22</v>
      </c>
      <c r="V37" s="53">
        <v>39.159999999999997</v>
      </c>
      <c r="W37" s="53">
        <v>39.07</v>
      </c>
      <c r="X37" s="53">
        <v>153.96</v>
      </c>
      <c r="Y37" s="53">
        <v>151.77000000000001</v>
      </c>
      <c r="Z37" s="53">
        <v>85.16</v>
      </c>
      <c r="AA37" s="53">
        <v>86.49</v>
      </c>
      <c r="AB37" s="53">
        <v>342.81</v>
      </c>
      <c r="AC37" s="53">
        <v>0.14000000000000001</v>
      </c>
      <c r="AD37" s="53">
        <v>-0.8</v>
      </c>
      <c r="AE37" s="53">
        <v>340.39</v>
      </c>
      <c r="AF37" s="53">
        <v>-0.01</v>
      </c>
      <c r="AG37" s="53">
        <v>67.31</v>
      </c>
      <c r="AH37" s="53">
        <v>100.88</v>
      </c>
      <c r="AI37" s="53">
        <v>103.89</v>
      </c>
      <c r="AJ37" s="53">
        <v>103.19</v>
      </c>
      <c r="AK37" s="53">
        <v>44.36</v>
      </c>
      <c r="AL37" s="53">
        <v>40.200000000000003</v>
      </c>
      <c r="AM37" s="53">
        <v>37.619999999999997</v>
      </c>
      <c r="AN37" s="53">
        <v>38.19</v>
      </c>
      <c r="AO37" s="53">
        <v>38.54</v>
      </c>
      <c r="AP37" s="53">
        <v>9456.27</v>
      </c>
      <c r="AQ37" s="53">
        <v>6.73</v>
      </c>
      <c r="AR37" s="53">
        <v>6.69</v>
      </c>
      <c r="AS37" s="53">
        <v>6.72</v>
      </c>
      <c r="AT37" s="53">
        <v>6.72</v>
      </c>
      <c r="AU37" s="53">
        <v>2971.27</v>
      </c>
      <c r="AV37" s="53">
        <v>126.32</v>
      </c>
      <c r="AW37" s="53">
        <v>119.02</v>
      </c>
      <c r="AX37" s="53">
        <v>2858.85</v>
      </c>
      <c r="AY37" s="53">
        <v>2951.33</v>
      </c>
      <c r="AZ37" s="53">
        <v>915.51</v>
      </c>
      <c r="BA37" s="53">
        <v>3472.45</v>
      </c>
      <c r="BB37" s="53">
        <v>3266.83</v>
      </c>
      <c r="BC37" s="53">
        <v>3142.11</v>
      </c>
      <c r="BD37" s="53">
        <v>3663.84</v>
      </c>
      <c r="BE37" s="53">
        <v>3561.29</v>
      </c>
      <c r="BF37" s="53">
        <v>3676.74</v>
      </c>
      <c r="BG37" s="53">
        <v>3570.16</v>
      </c>
      <c r="BH37" s="53">
        <v>2204.94</v>
      </c>
      <c r="BI37" s="53">
        <v>3497.92</v>
      </c>
      <c r="BJ37" s="53">
        <v>3501.31</v>
      </c>
      <c r="BK37" s="53">
        <v>3448.21</v>
      </c>
      <c r="BL37" s="53">
        <v>1599.01</v>
      </c>
      <c r="BM37" s="53">
        <v>3570.99</v>
      </c>
      <c r="BN37" s="53">
        <v>3520.86</v>
      </c>
    </row>
    <row r="38" spans="1:66" s="5" customFormat="1" ht="15" x14ac:dyDescent="0.3">
      <c r="A38" s="57" t="s">
        <v>149</v>
      </c>
      <c r="B38" s="53">
        <v>270.51</v>
      </c>
      <c r="C38" s="53">
        <v>2599608.25</v>
      </c>
      <c r="D38" s="53">
        <v>42200.69</v>
      </c>
      <c r="E38" s="53">
        <v>1126482.3799999999</v>
      </c>
      <c r="F38" s="53">
        <v>2060995.13</v>
      </c>
      <c r="G38" s="53">
        <v>2163746.5</v>
      </c>
      <c r="H38" s="53">
        <v>10046929</v>
      </c>
      <c r="I38" s="53">
        <v>300.87</v>
      </c>
      <c r="J38" s="53">
        <v>7557.69</v>
      </c>
      <c r="K38" s="53">
        <v>1122583.3799999999</v>
      </c>
      <c r="L38" s="53">
        <v>2039279.5</v>
      </c>
      <c r="M38" s="53">
        <v>2258327.25</v>
      </c>
      <c r="N38" s="53">
        <v>507.9</v>
      </c>
      <c r="O38" s="53">
        <v>18322.73</v>
      </c>
      <c r="P38" s="53">
        <v>203634.03</v>
      </c>
      <c r="Q38" s="53">
        <v>389139.38</v>
      </c>
      <c r="R38" s="53">
        <v>384365.56</v>
      </c>
      <c r="S38" s="53">
        <v>383183.63</v>
      </c>
      <c r="T38" s="53">
        <v>89479.05</v>
      </c>
      <c r="U38" s="53">
        <v>247250.52</v>
      </c>
      <c r="V38" s="53">
        <v>39.14</v>
      </c>
      <c r="W38" s="53">
        <v>39.450000000000003</v>
      </c>
      <c r="X38" s="53">
        <v>154.11000000000001</v>
      </c>
      <c r="Y38" s="53">
        <v>151.54</v>
      </c>
      <c r="Z38" s="53">
        <v>85.27</v>
      </c>
      <c r="AA38" s="53">
        <v>85.71</v>
      </c>
      <c r="AB38" s="53">
        <v>338.86</v>
      </c>
      <c r="AC38" s="53">
        <v>0.14000000000000001</v>
      </c>
      <c r="AD38" s="53">
        <v>-0.8</v>
      </c>
      <c r="AE38" s="53">
        <v>335.95</v>
      </c>
      <c r="AF38" s="53">
        <v>-0.01</v>
      </c>
      <c r="AG38" s="53">
        <v>67.2</v>
      </c>
      <c r="AH38" s="53">
        <v>101.03</v>
      </c>
      <c r="AI38" s="53">
        <v>104.21</v>
      </c>
      <c r="AJ38" s="53">
        <v>103.41</v>
      </c>
      <c r="AK38" s="53">
        <v>43.31</v>
      </c>
      <c r="AL38" s="53">
        <v>40.619999999999997</v>
      </c>
      <c r="AM38" s="53">
        <v>37.880000000000003</v>
      </c>
      <c r="AN38" s="53">
        <v>38.130000000000003</v>
      </c>
      <c r="AO38" s="53">
        <v>39.200000000000003</v>
      </c>
      <c r="AP38" s="53">
        <v>9400.14</v>
      </c>
      <c r="AQ38" s="53">
        <v>6.73</v>
      </c>
      <c r="AR38" s="53">
        <v>6.69</v>
      </c>
      <c r="AS38" s="53">
        <v>6.72</v>
      </c>
      <c r="AT38" s="53">
        <v>6.72</v>
      </c>
      <c r="AU38" s="53">
        <v>2971.35</v>
      </c>
      <c r="AV38" s="53">
        <v>126.32</v>
      </c>
      <c r="AW38" s="53">
        <v>119.02</v>
      </c>
      <c r="AX38" s="53">
        <v>2858.93</v>
      </c>
      <c r="AY38" s="53">
        <v>2951.33</v>
      </c>
      <c r="AZ38" s="53">
        <v>915.59</v>
      </c>
      <c r="BA38" s="53">
        <v>3472.53</v>
      </c>
      <c r="BB38" s="53">
        <v>3266.92</v>
      </c>
      <c r="BC38" s="53">
        <v>3142.19</v>
      </c>
      <c r="BD38" s="53">
        <v>3663.92</v>
      </c>
      <c r="BE38" s="53">
        <v>3561.37</v>
      </c>
      <c r="BF38" s="53">
        <v>3676.82</v>
      </c>
      <c r="BG38" s="53">
        <v>3570.24</v>
      </c>
      <c r="BH38" s="53">
        <v>2205.02</v>
      </c>
      <c r="BI38" s="53">
        <v>3498.01</v>
      </c>
      <c r="BJ38" s="53">
        <v>3501.39</v>
      </c>
      <c r="BK38" s="53">
        <v>3448.29</v>
      </c>
      <c r="BL38" s="53">
        <v>1599.1</v>
      </c>
      <c r="BM38" s="53">
        <v>3571.07</v>
      </c>
      <c r="BN38" s="53">
        <v>3520.94</v>
      </c>
    </row>
    <row r="39" spans="1:66" s="5" customFormat="1" ht="15" x14ac:dyDescent="0.3">
      <c r="A39" s="57" t="s">
        <v>150</v>
      </c>
      <c r="B39" s="53">
        <v>272.7</v>
      </c>
      <c r="C39" s="53">
        <v>2599642.75</v>
      </c>
      <c r="D39" s="53">
        <v>42200.69</v>
      </c>
      <c r="E39" s="53">
        <v>1126517</v>
      </c>
      <c r="F39" s="53">
        <v>2061052.25</v>
      </c>
      <c r="G39" s="53">
        <v>2163806.5</v>
      </c>
      <c r="H39" s="53">
        <v>10046996</v>
      </c>
      <c r="I39" s="53">
        <v>300.87</v>
      </c>
      <c r="J39" s="53">
        <v>7557.79</v>
      </c>
      <c r="K39" s="53">
        <v>1122615.5</v>
      </c>
      <c r="L39" s="53">
        <v>2039335.88</v>
      </c>
      <c r="M39" s="53">
        <v>2258396.25</v>
      </c>
      <c r="N39" s="53">
        <v>507.9</v>
      </c>
      <c r="O39" s="53">
        <v>18322.73</v>
      </c>
      <c r="P39" s="53">
        <v>203636.92</v>
      </c>
      <c r="Q39" s="53">
        <v>389142.59</v>
      </c>
      <c r="R39" s="53">
        <v>384369</v>
      </c>
      <c r="S39" s="53">
        <v>383187</v>
      </c>
      <c r="T39" s="53">
        <v>89481.27</v>
      </c>
      <c r="U39" s="53">
        <v>247251.92</v>
      </c>
      <c r="V39" s="53">
        <v>39.14</v>
      </c>
      <c r="W39" s="53">
        <v>39.450000000000003</v>
      </c>
      <c r="X39" s="53">
        <v>154.03</v>
      </c>
      <c r="Y39" s="53">
        <v>151.33000000000001</v>
      </c>
      <c r="Z39" s="53">
        <v>85.27</v>
      </c>
      <c r="AA39" s="53">
        <v>85.79</v>
      </c>
      <c r="AB39" s="53">
        <v>343.84</v>
      </c>
      <c r="AC39" s="53">
        <v>0.14000000000000001</v>
      </c>
      <c r="AD39" s="53">
        <v>-0.8</v>
      </c>
      <c r="AE39" s="53">
        <v>340.9</v>
      </c>
      <c r="AF39" s="53">
        <v>-0.01</v>
      </c>
      <c r="AG39" s="53">
        <v>67.05</v>
      </c>
      <c r="AH39" s="53">
        <v>101.03</v>
      </c>
      <c r="AI39" s="53">
        <v>104.21</v>
      </c>
      <c r="AJ39" s="53">
        <v>103.41</v>
      </c>
      <c r="AK39" s="53">
        <v>43.2</v>
      </c>
      <c r="AL39" s="53">
        <v>40.61</v>
      </c>
      <c r="AM39" s="53">
        <v>37.909999999999997</v>
      </c>
      <c r="AN39" s="53">
        <v>38.130000000000003</v>
      </c>
      <c r="AO39" s="53">
        <v>39.229999999999997</v>
      </c>
      <c r="AP39" s="53">
        <v>9487.4699999999993</v>
      </c>
      <c r="AQ39" s="53">
        <v>6.73</v>
      </c>
      <c r="AR39" s="53">
        <v>6.69</v>
      </c>
      <c r="AS39" s="53">
        <v>6.72</v>
      </c>
      <c r="AT39" s="53">
        <v>6.72</v>
      </c>
      <c r="AU39" s="53">
        <v>2971.43</v>
      </c>
      <c r="AV39" s="53">
        <v>126.32</v>
      </c>
      <c r="AW39" s="53">
        <v>119.02</v>
      </c>
      <c r="AX39" s="53">
        <v>2859.02</v>
      </c>
      <c r="AY39" s="53">
        <v>2951.33</v>
      </c>
      <c r="AZ39" s="53">
        <v>915.68</v>
      </c>
      <c r="BA39" s="53">
        <v>3472.61</v>
      </c>
      <c r="BB39" s="53">
        <v>3267</v>
      </c>
      <c r="BC39" s="53">
        <v>3142.28</v>
      </c>
      <c r="BD39" s="53">
        <v>3664.01</v>
      </c>
      <c r="BE39" s="53">
        <v>3561.46</v>
      </c>
      <c r="BF39" s="53">
        <v>3676.91</v>
      </c>
      <c r="BG39" s="53">
        <v>3570.32</v>
      </c>
      <c r="BH39" s="53">
        <v>2205.1</v>
      </c>
      <c r="BI39" s="53">
        <v>3498.09</v>
      </c>
      <c r="BJ39" s="53">
        <v>3501.47</v>
      </c>
      <c r="BK39" s="53">
        <v>3448.37</v>
      </c>
      <c r="BL39" s="53">
        <v>1599.18</v>
      </c>
      <c r="BM39" s="53">
        <v>3571.15</v>
      </c>
      <c r="BN39" s="53">
        <v>3521.02</v>
      </c>
    </row>
    <row r="40" spans="1:66" s="5" customFormat="1" ht="15" x14ac:dyDescent="0.3">
      <c r="A40" s="57" t="s">
        <v>151</v>
      </c>
      <c r="B40" s="53">
        <v>271.32</v>
      </c>
      <c r="C40" s="53">
        <v>2599677.25</v>
      </c>
      <c r="D40" s="53">
        <v>42200.69</v>
      </c>
      <c r="E40" s="53">
        <v>1126551.75</v>
      </c>
      <c r="F40" s="53">
        <v>2061110.25</v>
      </c>
      <c r="G40" s="53">
        <v>2163867.25</v>
      </c>
      <c r="H40" s="53">
        <v>10047063</v>
      </c>
      <c r="I40" s="53">
        <v>300.87</v>
      </c>
      <c r="J40" s="53">
        <v>7557.89</v>
      </c>
      <c r="K40" s="53">
        <v>1122647.3799999999</v>
      </c>
      <c r="L40" s="53">
        <v>2039392.13</v>
      </c>
      <c r="M40" s="53">
        <v>2258465.5</v>
      </c>
      <c r="N40" s="53">
        <v>507.9</v>
      </c>
      <c r="O40" s="53">
        <v>18322.73</v>
      </c>
      <c r="P40" s="53">
        <v>203639.73</v>
      </c>
      <c r="Q40" s="53">
        <v>389145.84</v>
      </c>
      <c r="R40" s="53">
        <v>384372.44</v>
      </c>
      <c r="S40" s="53">
        <v>383189.81</v>
      </c>
      <c r="T40" s="53">
        <v>89482.94</v>
      </c>
      <c r="U40" s="53">
        <v>247252.36</v>
      </c>
      <c r="V40" s="53">
        <v>39.14</v>
      </c>
      <c r="W40" s="53">
        <v>39.450000000000003</v>
      </c>
      <c r="X40" s="53">
        <v>153.69999999999999</v>
      </c>
      <c r="Y40" s="53">
        <v>151.1</v>
      </c>
      <c r="Z40" s="53">
        <v>84.88</v>
      </c>
      <c r="AA40" s="53">
        <v>85.31</v>
      </c>
      <c r="AB40" s="53">
        <v>342.24</v>
      </c>
      <c r="AC40" s="53">
        <v>0.14000000000000001</v>
      </c>
      <c r="AD40" s="53">
        <v>-0.8</v>
      </c>
      <c r="AE40" s="53">
        <v>339.8</v>
      </c>
      <c r="AF40" s="53">
        <v>-0.01</v>
      </c>
      <c r="AG40" s="53">
        <v>67.34</v>
      </c>
      <c r="AH40" s="53">
        <v>101.03</v>
      </c>
      <c r="AI40" s="53">
        <v>104.21</v>
      </c>
      <c r="AJ40" s="53">
        <v>103.41</v>
      </c>
      <c r="AK40" s="53">
        <v>43.12</v>
      </c>
      <c r="AL40" s="53">
        <v>40.65</v>
      </c>
      <c r="AM40" s="53">
        <v>37.9</v>
      </c>
      <c r="AN40" s="53">
        <v>38.21</v>
      </c>
      <c r="AO40" s="53">
        <v>39.46</v>
      </c>
      <c r="AP40" s="53">
        <v>9424.31</v>
      </c>
      <c r="AQ40" s="53">
        <v>6.73</v>
      </c>
      <c r="AR40" s="53">
        <v>6.69</v>
      </c>
      <c r="AS40" s="53">
        <v>6.72</v>
      </c>
      <c r="AT40" s="53">
        <v>6.72</v>
      </c>
      <c r="AU40" s="53">
        <v>2971.52</v>
      </c>
      <c r="AV40" s="53">
        <v>126.32</v>
      </c>
      <c r="AW40" s="53">
        <v>119.02</v>
      </c>
      <c r="AX40" s="53">
        <v>2859.1</v>
      </c>
      <c r="AY40" s="53">
        <v>2951.33</v>
      </c>
      <c r="AZ40" s="53">
        <v>915.76</v>
      </c>
      <c r="BA40" s="53">
        <v>3472.7</v>
      </c>
      <c r="BB40" s="53">
        <v>3267.08</v>
      </c>
      <c r="BC40" s="53">
        <v>3142.36</v>
      </c>
      <c r="BD40" s="53">
        <v>3664.09</v>
      </c>
      <c r="BE40" s="53">
        <v>3561.54</v>
      </c>
      <c r="BF40" s="53">
        <v>3676.99</v>
      </c>
      <c r="BG40" s="53">
        <v>3570.41</v>
      </c>
      <c r="BH40" s="53">
        <v>2205.19</v>
      </c>
      <c r="BI40" s="53">
        <v>3498.17</v>
      </c>
      <c r="BJ40" s="53">
        <v>3501.56</v>
      </c>
      <c r="BK40" s="53">
        <v>3448.46</v>
      </c>
      <c r="BL40" s="53">
        <v>1599.26</v>
      </c>
      <c r="BM40" s="53">
        <v>3571.24</v>
      </c>
      <c r="BN40" s="53">
        <v>3521.11</v>
      </c>
    </row>
    <row r="41" spans="1:66" s="5" customFormat="1" ht="15" x14ac:dyDescent="0.3">
      <c r="A41" s="57" t="s">
        <v>152</v>
      </c>
      <c r="B41" s="53">
        <v>269.2</v>
      </c>
      <c r="C41" s="53">
        <v>2599711.5</v>
      </c>
      <c r="D41" s="53">
        <v>42200.69</v>
      </c>
      <c r="E41" s="53">
        <v>1126585.8799999999</v>
      </c>
      <c r="F41" s="53">
        <v>2061167.5</v>
      </c>
      <c r="G41" s="53">
        <v>2163927.25</v>
      </c>
      <c r="H41" s="53">
        <v>10047130</v>
      </c>
      <c r="I41" s="53">
        <v>300.87</v>
      </c>
      <c r="J41" s="53">
        <v>7557.99</v>
      </c>
      <c r="K41" s="53">
        <v>1122679.25</v>
      </c>
      <c r="L41" s="53">
        <v>2039448.38</v>
      </c>
      <c r="M41" s="53">
        <v>2258533.75</v>
      </c>
      <c r="N41" s="53">
        <v>507.9</v>
      </c>
      <c r="O41" s="53">
        <v>18322.73</v>
      </c>
      <c r="P41" s="53">
        <v>203642.53</v>
      </c>
      <c r="Q41" s="53">
        <v>389149.09</v>
      </c>
      <c r="R41" s="53">
        <v>384375.75</v>
      </c>
      <c r="S41" s="53">
        <v>383193.22</v>
      </c>
      <c r="T41" s="53">
        <v>89485.18</v>
      </c>
      <c r="U41" s="53">
        <v>247255.31</v>
      </c>
      <c r="V41" s="53">
        <v>39.14</v>
      </c>
      <c r="W41" s="53">
        <v>39.450000000000003</v>
      </c>
      <c r="X41" s="53">
        <v>153.53</v>
      </c>
      <c r="Y41" s="53">
        <v>150.88</v>
      </c>
      <c r="Z41" s="53">
        <v>84.64</v>
      </c>
      <c r="AA41" s="53">
        <v>85.2</v>
      </c>
      <c r="AB41" s="53">
        <v>336.66</v>
      </c>
      <c r="AC41" s="53">
        <v>0.14000000000000001</v>
      </c>
      <c r="AD41" s="53">
        <v>-0.8</v>
      </c>
      <c r="AE41" s="53">
        <v>333.31</v>
      </c>
      <c r="AF41" s="53">
        <v>-0.01</v>
      </c>
      <c r="AG41" s="53">
        <v>66.95</v>
      </c>
      <c r="AH41" s="53">
        <v>101.03</v>
      </c>
      <c r="AI41" s="53">
        <v>103.72</v>
      </c>
      <c r="AJ41" s="53">
        <v>103.41</v>
      </c>
      <c r="AK41" s="53">
        <v>43.13</v>
      </c>
      <c r="AL41" s="53">
        <v>40.82</v>
      </c>
      <c r="AM41" s="53">
        <v>38.229999999999997</v>
      </c>
      <c r="AN41" s="53">
        <v>38.06</v>
      </c>
      <c r="AO41" s="53">
        <v>39.44</v>
      </c>
      <c r="AP41" s="53">
        <v>9363.36</v>
      </c>
      <c r="AQ41" s="53">
        <v>6.73</v>
      </c>
      <c r="AR41" s="53">
        <v>6.69</v>
      </c>
      <c r="AS41" s="53">
        <v>6.72</v>
      </c>
      <c r="AT41" s="53">
        <v>6.72</v>
      </c>
      <c r="AU41" s="53">
        <v>2971.6</v>
      </c>
      <c r="AV41" s="53">
        <v>126.32</v>
      </c>
      <c r="AW41" s="53">
        <v>119.02</v>
      </c>
      <c r="AX41" s="53">
        <v>2859.18</v>
      </c>
      <c r="AY41" s="53">
        <v>2951.33</v>
      </c>
      <c r="AZ41" s="53">
        <v>915.84</v>
      </c>
      <c r="BA41" s="53">
        <v>3472.78</v>
      </c>
      <c r="BB41" s="53">
        <v>3267.17</v>
      </c>
      <c r="BC41" s="53">
        <v>3142.44</v>
      </c>
      <c r="BD41" s="53">
        <v>3664.17</v>
      </c>
      <c r="BE41" s="53">
        <v>3561.62</v>
      </c>
      <c r="BF41" s="53">
        <v>3677.07</v>
      </c>
      <c r="BG41" s="53">
        <v>3570.49</v>
      </c>
      <c r="BH41" s="53">
        <v>2205.27</v>
      </c>
      <c r="BI41" s="53">
        <v>3498.26</v>
      </c>
      <c r="BJ41" s="53">
        <v>3501.64</v>
      </c>
      <c r="BK41" s="53">
        <v>3448.54</v>
      </c>
      <c r="BL41" s="53">
        <v>1599.35</v>
      </c>
      <c r="BM41" s="53">
        <v>3571.32</v>
      </c>
      <c r="BN41" s="53">
        <v>3521.19</v>
      </c>
    </row>
    <row r="42" spans="1:66" s="5" customFormat="1" ht="15" x14ac:dyDescent="0.3">
      <c r="A42" s="57" t="s">
        <v>153</v>
      </c>
      <c r="B42" s="53">
        <v>272.54000000000002</v>
      </c>
      <c r="C42" s="53">
        <v>2599746</v>
      </c>
      <c r="D42" s="53">
        <v>42200.69</v>
      </c>
      <c r="E42" s="53">
        <v>1126620.3799999999</v>
      </c>
      <c r="F42" s="53">
        <v>2061224.75</v>
      </c>
      <c r="G42" s="53">
        <v>2163987.25</v>
      </c>
      <c r="H42" s="53">
        <v>10047198</v>
      </c>
      <c r="I42" s="53">
        <v>300.87</v>
      </c>
      <c r="J42" s="53">
        <v>7558.1</v>
      </c>
      <c r="K42" s="53">
        <v>1122711</v>
      </c>
      <c r="L42" s="53">
        <v>2039504.5</v>
      </c>
      <c r="M42" s="53">
        <v>2258602.75</v>
      </c>
      <c r="N42" s="53">
        <v>507.9</v>
      </c>
      <c r="O42" s="53">
        <v>18322.73</v>
      </c>
      <c r="P42" s="53">
        <v>203645.33</v>
      </c>
      <c r="Q42" s="53">
        <v>389152.31</v>
      </c>
      <c r="R42" s="53">
        <v>384378.94</v>
      </c>
      <c r="S42" s="53">
        <v>383196.66</v>
      </c>
      <c r="T42" s="53">
        <v>89487.3</v>
      </c>
      <c r="U42" s="53">
        <v>247258</v>
      </c>
      <c r="V42" s="53">
        <v>39.14</v>
      </c>
      <c r="W42" s="53">
        <v>39.450000000000003</v>
      </c>
      <c r="X42" s="53">
        <v>153.63</v>
      </c>
      <c r="Y42" s="53">
        <v>151.01</v>
      </c>
      <c r="Z42" s="53">
        <v>84.66</v>
      </c>
      <c r="AA42" s="53">
        <v>84.77</v>
      </c>
      <c r="AB42" s="53">
        <v>342.79</v>
      </c>
      <c r="AC42" s="53">
        <v>0.14000000000000001</v>
      </c>
      <c r="AD42" s="53">
        <v>-0.8</v>
      </c>
      <c r="AE42" s="53">
        <v>339.65</v>
      </c>
      <c r="AF42" s="53">
        <v>-0.01</v>
      </c>
      <c r="AG42" s="53">
        <v>67.02</v>
      </c>
      <c r="AH42" s="53">
        <v>101.03</v>
      </c>
      <c r="AI42" s="53">
        <v>103.56</v>
      </c>
      <c r="AJ42" s="53">
        <v>103.41</v>
      </c>
      <c r="AK42" s="53">
        <v>43.05</v>
      </c>
      <c r="AL42" s="53">
        <v>40.78</v>
      </c>
      <c r="AM42" s="53">
        <v>38.36</v>
      </c>
      <c r="AN42" s="53">
        <v>38.17</v>
      </c>
      <c r="AO42" s="53">
        <v>39.159999999999997</v>
      </c>
      <c r="AP42" s="53">
        <v>9483.16</v>
      </c>
      <c r="AQ42" s="53">
        <v>6.73</v>
      </c>
      <c r="AR42" s="53">
        <v>6.69</v>
      </c>
      <c r="AS42" s="53">
        <v>6.72</v>
      </c>
      <c r="AT42" s="53">
        <v>6.72</v>
      </c>
      <c r="AU42" s="53">
        <v>2971.68</v>
      </c>
      <c r="AV42" s="53">
        <v>126.32</v>
      </c>
      <c r="AW42" s="53">
        <v>119.02</v>
      </c>
      <c r="AX42" s="53">
        <v>2859.27</v>
      </c>
      <c r="AY42" s="53">
        <v>2951.33</v>
      </c>
      <c r="AZ42" s="53">
        <v>915.93</v>
      </c>
      <c r="BA42" s="53">
        <v>3472.86</v>
      </c>
      <c r="BB42" s="53">
        <v>3267.25</v>
      </c>
      <c r="BC42" s="53">
        <v>3142.53</v>
      </c>
      <c r="BD42" s="53">
        <v>3664.26</v>
      </c>
      <c r="BE42" s="53">
        <v>3561.71</v>
      </c>
      <c r="BF42" s="53">
        <v>3677.16</v>
      </c>
      <c r="BG42" s="53">
        <v>3570.57</v>
      </c>
      <c r="BH42" s="53">
        <v>2205.35</v>
      </c>
      <c r="BI42" s="53">
        <v>3498.34</v>
      </c>
      <c r="BJ42" s="53">
        <v>3501.72</v>
      </c>
      <c r="BK42" s="53">
        <v>3448.62</v>
      </c>
      <c r="BL42" s="53">
        <v>1599.43</v>
      </c>
      <c r="BM42" s="53">
        <v>3571.4</v>
      </c>
      <c r="BN42" s="53">
        <v>3521.27</v>
      </c>
    </row>
    <row r="43" spans="1:66" s="5" customFormat="1" ht="15" x14ac:dyDescent="0.3">
      <c r="A43" s="57" t="s">
        <v>154</v>
      </c>
      <c r="B43" s="53">
        <v>273.66000000000003</v>
      </c>
      <c r="C43" s="53">
        <v>2599780.5</v>
      </c>
      <c r="D43" s="53">
        <v>42200.69</v>
      </c>
      <c r="E43" s="53">
        <v>1126655.25</v>
      </c>
      <c r="F43" s="53">
        <v>2061282.5</v>
      </c>
      <c r="G43" s="53">
        <v>2164048</v>
      </c>
      <c r="H43" s="53">
        <v>10047265</v>
      </c>
      <c r="I43" s="53">
        <v>300.87</v>
      </c>
      <c r="J43" s="53">
        <v>7558.2</v>
      </c>
      <c r="K43" s="53">
        <v>1122742.75</v>
      </c>
      <c r="L43" s="53">
        <v>2039560.88</v>
      </c>
      <c r="M43" s="53">
        <v>2258672.25</v>
      </c>
      <c r="N43" s="53">
        <v>507.9</v>
      </c>
      <c r="O43" s="53">
        <v>18322.73</v>
      </c>
      <c r="P43" s="53">
        <v>203648.13</v>
      </c>
      <c r="Q43" s="53">
        <v>389155.56</v>
      </c>
      <c r="R43" s="53">
        <v>384382.34</v>
      </c>
      <c r="S43" s="53">
        <v>383199.44</v>
      </c>
      <c r="T43" s="53">
        <v>89488.9</v>
      </c>
      <c r="U43" s="53">
        <v>247258.41</v>
      </c>
      <c r="V43" s="53">
        <v>39.14</v>
      </c>
      <c r="W43" s="53">
        <v>39.450000000000003</v>
      </c>
      <c r="X43" s="53">
        <v>153.47999999999999</v>
      </c>
      <c r="Y43" s="53">
        <v>150.66999999999999</v>
      </c>
      <c r="Z43" s="53">
        <v>84.83</v>
      </c>
      <c r="AA43" s="53">
        <v>84.97</v>
      </c>
      <c r="AB43" s="53">
        <v>343.61</v>
      </c>
      <c r="AC43" s="53">
        <v>0.14000000000000001</v>
      </c>
      <c r="AD43" s="53">
        <v>-0.8</v>
      </c>
      <c r="AE43" s="53">
        <v>341.16</v>
      </c>
      <c r="AF43" s="53">
        <v>-0.01</v>
      </c>
      <c r="AG43" s="53">
        <v>67.25</v>
      </c>
      <c r="AH43" s="53">
        <v>101.01</v>
      </c>
      <c r="AI43" s="53">
        <v>104.03</v>
      </c>
      <c r="AJ43" s="53">
        <v>103.38</v>
      </c>
      <c r="AK43" s="53">
        <v>43.05</v>
      </c>
      <c r="AL43" s="53">
        <v>40.86</v>
      </c>
      <c r="AM43" s="53">
        <v>38.24</v>
      </c>
      <c r="AN43" s="53">
        <v>38.130000000000003</v>
      </c>
      <c r="AO43" s="53">
        <v>38.75</v>
      </c>
      <c r="AP43" s="53">
        <v>9497.8700000000008</v>
      </c>
      <c r="AQ43" s="53">
        <v>6.73</v>
      </c>
      <c r="AR43" s="53">
        <v>6.69</v>
      </c>
      <c r="AS43" s="53">
        <v>6.72</v>
      </c>
      <c r="AT43" s="53">
        <v>6.72</v>
      </c>
      <c r="AU43" s="53">
        <v>2971.77</v>
      </c>
      <c r="AV43" s="53">
        <v>126.32</v>
      </c>
      <c r="AW43" s="53">
        <v>119.02</v>
      </c>
      <c r="AX43" s="53">
        <v>2859.35</v>
      </c>
      <c r="AY43" s="53">
        <v>2951.33</v>
      </c>
      <c r="AZ43" s="53">
        <v>916.01</v>
      </c>
      <c r="BA43" s="53">
        <v>3472.95</v>
      </c>
      <c r="BB43" s="53">
        <v>3267.33</v>
      </c>
      <c r="BC43" s="53">
        <v>3142.61</v>
      </c>
      <c r="BD43" s="53">
        <v>3664.34</v>
      </c>
      <c r="BE43" s="53">
        <v>3561.79</v>
      </c>
      <c r="BF43" s="53">
        <v>3677.24</v>
      </c>
      <c r="BG43" s="53">
        <v>3570.66</v>
      </c>
      <c r="BH43" s="53">
        <v>2205.44</v>
      </c>
      <c r="BI43" s="53">
        <v>3498.42</v>
      </c>
      <c r="BJ43" s="53">
        <v>3501.81</v>
      </c>
      <c r="BK43" s="53">
        <v>3448.71</v>
      </c>
      <c r="BL43" s="53">
        <v>1599.51</v>
      </c>
      <c r="BM43" s="53">
        <v>3571.49</v>
      </c>
      <c r="BN43" s="53">
        <v>3521.36</v>
      </c>
    </row>
    <row r="44" spans="1:66" s="5" customFormat="1" ht="15" x14ac:dyDescent="0.3">
      <c r="A44" s="57" t="s">
        <v>155</v>
      </c>
      <c r="B44" s="53">
        <v>271.68</v>
      </c>
      <c r="C44" s="53">
        <v>2599815</v>
      </c>
      <c r="D44" s="53">
        <v>42200.69</v>
      </c>
      <c r="E44" s="53">
        <v>1126689.75</v>
      </c>
      <c r="F44" s="53">
        <v>2061340</v>
      </c>
      <c r="G44" s="53">
        <v>2164108.25</v>
      </c>
      <c r="H44" s="53">
        <v>10047332</v>
      </c>
      <c r="I44" s="53">
        <v>300.87</v>
      </c>
      <c r="J44" s="53">
        <v>7558.3</v>
      </c>
      <c r="K44" s="53">
        <v>1122774.5</v>
      </c>
      <c r="L44" s="53">
        <v>2039617</v>
      </c>
      <c r="M44" s="53">
        <v>2258741</v>
      </c>
      <c r="N44" s="53">
        <v>507.9</v>
      </c>
      <c r="O44" s="53">
        <v>18322.73</v>
      </c>
      <c r="P44" s="53">
        <v>203650.94</v>
      </c>
      <c r="Q44" s="53">
        <v>389158.78</v>
      </c>
      <c r="R44" s="53">
        <v>384385.81</v>
      </c>
      <c r="S44" s="53">
        <v>383202.63</v>
      </c>
      <c r="T44" s="53">
        <v>89490.77</v>
      </c>
      <c r="U44" s="53">
        <v>247259.69</v>
      </c>
      <c r="V44" s="53">
        <v>38.99</v>
      </c>
      <c r="W44" s="53">
        <v>39.07</v>
      </c>
      <c r="X44" s="53">
        <v>153.1</v>
      </c>
      <c r="Y44" s="53">
        <v>150.03</v>
      </c>
      <c r="Z44" s="53">
        <v>84.64</v>
      </c>
      <c r="AA44" s="53">
        <v>84.89</v>
      </c>
      <c r="AB44" s="53">
        <v>338.92</v>
      </c>
      <c r="AC44" s="53">
        <v>0.14000000000000001</v>
      </c>
      <c r="AD44" s="53">
        <v>-0.8</v>
      </c>
      <c r="AE44" s="53">
        <v>336.22</v>
      </c>
      <c r="AF44" s="53">
        <v>-0.01</v>
      </c>
      <c r="AG44" s="53">
        <v>66.91</v>
      </c>
      <c r="AH44" s="53">
        <v>100.53</v>
      </c>
      <c r="AI44" s="53">
        <v>103.63</v>
      </c>
      <c r="AJ44" s="53">
        <v>102.79</v>
      </c>
      <c r="AK44" s="53">
        <v>43.09</v>
      </c>
      <c r="AL44" s="53">
        <v>40.92</v>
      </c>
      <c r="AM44" s="53">
        <v>38.369999999999997</v>
      </c>
      <c r="AN44" s="53">
        <v>38.21</v>
      </c>
      <c r="AO44" s="53">
        <v>38.72</v>
      </c>
      <c r="AP44" s="53">
        <v>9426.0400000000009</v>
      </c>
      <c r="AQ44" s="53">
        <v>6.73</v>
      </c>
      <c r="AR44" s="53">
        <v>6.69</v>
      </c>
      <c r="AS44" s="53">
        <v>6.71</v>
      </c>
      <c r="AT44" s="53">
        <v>6.71</v>
      </c>
      <c r="AU44" s="53">
        <v>2971.85</v>
      </c>
      <c r="AV44" s="53">
        <v>126.32</v>
      </c>
      <c r="AW44" s="53">
        <v>119.02</v>
      </c>
      <c r="AX44" s="53">
        <v>2859.43</v>
      </c>
      <c r="AY44" s="53">
        <v>2951.33</v>
      </c>
      <c r="AZ44" s="53">
        <v>916.09</v>
      </c>
      <c r="BA44" s="53">
        <v>3473.03</v>
      </c>
      <c r="BB44" s="53">
        <v>3267.42</v>
      </c>
      <c r="BC44" s="53">
        <v>3142.69</v>
      </c>
      <c r="BD44" s="53">
        <v>3664.42</v>
      </c>
      <c r="BE44" s="53">
        <v>3561.87</v>
      </c>
      <c r="BF44" s="53">
        <v>3677.32</v>
      </c>
      <c r="BG44" s="53">
        <v>3570.74</v>
      </c>
      <c r="BH44" s="53">
        <v>2205.52</v>
      </c>
      <c r="BI44" s="53">
        <v>3498.51</v>
      </c>
      <c r="BJ44" s="53">
        <v>3501.89</v>
      </c>
      <c r="BK44" s="53">
        <v>3448.79</v>
      </c>
      <c r="BL44" s="53">
        <v>1599.6</v>
      </c>
      <c r="BM44" s="53">
        <v>3571.57</v>
      </c>
      <c r="BN44" s="53">
        <v>3521.44</v>
      </c>
    </row>
    <row r="45" spans="1:66" s="5" customFormat="1" ht="15" x14ac:dyDescent="0.3">
      <c r="A45" s="57" t="s">
        <v>156</v>
      </c>
      <c r="B45" s="53">
        <v>271.44</v>
      </c>
      <c r="C45" s="53">
        <v>2599849.25</v>
      </c>
      <c r="D45" s="53">
        <v>42200.69</v>
      </c>
      <c r="E45" s="53">
        <v>1126724.1299999999</v>
      </c>
      <c r="F45" s="53">
        <v>2061397.38</v>
      </c>
      <c r="G45" s="53">
        <v>2164168.5</v>
      </c>
      <c r="H45" s="53">
        <v>10047399</v>
      </c>
      <c r="I45" s="53">
        <v>300.87</v>
      </c>
      <c r="J45" s="53">
        <v>7558.4</v>
      </c>
      <c r="K45" s="53">
        <v>1122806.25</v>
      </c>
      <c r="L45" s="53">
        <v>2039673.13</v>
      </c>
      <c r="M45" s="53">
        <v>2258809.75</v>
      </c>
      <c r="N45" s="53">
        <v>507.9</v>
      </c>
      <c r="O45" s="53">
        <v>18322.73</v>
      </c>
      <c r="P45" s="53">
        <v>203653.73</v>
      </c>
      <c r="Q45" s="53">
        <v>389162.03</v>
      </c>
      <c r="R45" s="53">
        <v>384388.66</v>
      </c>
      <c r="S45" s="53">
        <v>383205.97</v>
      </c>
      <c r="T45" s="53">
        <v>89492.89</v>
      </c>
      <c r="U45" s="53">
        <v>247263.05</v>
      </c>
      <c r="V45" s="53">
        <v>38.99</v>
      </c>
      <c r="W45" s="53">
        <v>39.07</v>
      </c>
      <c r="X45" s="53">
        <v>153.08000000000001</v>
      </c>
      <c r="Y45" s="53">
        <v>149.97</v>
      </c>
      <c r="Z45" s="53">
        <v>84.64</v>
      </c>
      <c r="AA45" s="53">
        <v>84.9</v>
      </c>
      <c r="AB45" s="53">
        <v>337.78</v>
      </c>
      <c r="AC45" s="53">
        <v>0.14000000000000001</v>
      </c>
      <c r="AD45" s="53">
        <v>-0.8</v>
      </c>
      <c r="AE45" s="53">
        <v>335.05</v>
      </c>
      <c r="AF45" s="53">
        <v>-0.01</v>
      </c>
      <c r="AG45" s="53">
        <v>66.87</v>
      </c>
      <c r="AH45" s="53">
        <v>100.53</v>
      </c>
      <c r="AI45" s="53">
        <v>103.63</v>
      </c>
      <c r="AJ45" s="53">
        <v>102.79</v>
      </c>
      <c r="AK45" s="53">
        <v>43.15</v>
      </c>
      <c r="AL45" s="53">
        <v>40.909999999999997</v>
      </c>
      <c r="AM45" s="53">
        <v>38.39</v>
      </c>
      <c r="AN45" s="53">
        <v>38.340000000000003</v>
      </c>
      <c r="AO45" s="53">
        <v>38.65</v>
      </c>
      <c r="AP45" s="53">
        <v>9414.57</v>
      </c>
      <c r="AQ45" s="53">
        <v>6.73</v>
      </c>
      <c r="AR45" s="53">
        <v>6.69</v>
      </c>
      <c r="AS45" s="53">
        <v>6.71</v>
      </c>
      <c r="AT45" s="53">
        <v>6.71</v>
      </c>
      <c r="AU45" s="53">
        <v>2971.93</v>
      </c>
      <c r="AV45" s="53">
        <v>126.32</v>
      </c>
      <c r="AW45" s="53">
        <v>119.02</v>
      </c>
      <c r="AX45" s="53">
        <v>2859.52</v>
      </c>
      <c r="AY45" s="53">
        <v>2951.33</v>
      </c>
      <c r="AZ45" s="53">
        <v>916.18</v>
      </c>
      <c r="BA45" s="53">
        <v>3473.11</v>
      </c>
      <c r="BB45" s="53">
        <v>3267.5</v>
      </c>
      <c r="BC45" s="53">
        <v>3142.78</v>
      </c>
      <c r="BD45" s="53">
        <v>3664.51</v>
      </c>
      <c r="BE45" s="53">
        <v>3561.96</v>
      </c>
      <c r="BF45" s="53">
        <v>3677.41</v>
      </c>
      <c r="BG45" s="53">
        <v>3570.82</v>
      </c>
      <c r="BH45" s="53">
        <v>2205.6</v>
      </c>
      <c r="BI45" s="53">
        <v>3498.59</v>
      </c>
      <c r="BJ45" s="53">
        <v>3501.97</v>
      </c>
      <c r="BK45" s="53">
        <v>3448.87</v>
      </c>
      <c r="BL45" s="53">
        <v>1599.68</v>
      </c>
      <c r="BM45" s="53">
        <v>3571.65</v>
      </c>
      <c r="BN45" s="53">
        <v>3521.52</v>
      </c>
    </row>
    <row r="46" spans="1:66" s="5" customFormat="1" ht="15" x14ac:dyDescent="0.3">
      <c r="A46" s="57" t="s">
        <v>157</v>
      </c>
      <c r="B46" s="53">
        <v>270.79000000000002</v>
      </c>
      <c r="C46" s="53">
        <v>2599883.5</v>
      </c>
      <c r="D46" s="53">
        <v>42200.69</v>
      </c>
      <c r="E46" s="53">
        <v>1126758.3799999999</v>
      </c>
      <c r="F46" s="53">
        <v>2061454.75</v>
      </c>
      <c r="G46" s="53">
        <v>2164228.75</v>
      </c>
      <c r="H46" s="53">
        <v>10047466</v>
      </c>
      <c r="I46" s="53">
        <v>300.87</v>
      </c>
      <c r="J46" s="53">
        <v>7558.5</v>
      </c>
      <c r="K46" s="53">
        <v>1122838.1299999999</v>
      </c>
      <c r="L46" s="53">
        <v>2039729.38</v>
      </c>
      <c r="M46" s="53">
        <v>2258878</v>
      </c>
      <c r="N46" s="53">
        <v>507.9</v>
      </c>
      <c r="O46" s="53">
        <v>18322.73</v>
      </c>
      <c r="P46" s="53">
        <v>203656.53</v>
      </c>
      <c r="Q46" s="53">
        <v>389165.28</v>
      </c>
      <c r="R46" s="53">
        <v>384392.5</v>
      </c>
      <c r="S46" s="53">
        <v>383209.34</v>
      </c>
      <c r="T46" s="53">
        <v>89494.51</v>
      </c>
      <c r="U46" s="53">
        <v>247264.81</v>
      </c>
      <c r="V46" s="53">
        <v>38.99</v>
      </c>
      <c r="W46" s="53">
        <v>39.07</v>
      </c>
      <c r="X46" s="53">
        <v>153.22</v>
      </c>
      <c r="Y46" s="53">
        <v>150.47</v>
      </c>
      <c r="Z46" s="53">
        <v>84.83</v>
      </c>
      <c r="AA46" s="53">
        <v>85.05</v>
      </c>
      <c r="AB46" s="53">
        <v>336.5</v>
      </c>
      <c r="AC46" s="53">
        <v>0.14000000000000001</v>
      </c>
      <c r="AD46" s="53">
        <v>-0.8</v>
      </c>
      <c r="AE46" s="53">
        <v>333.71</v>
      </c>
      <c r="AF46" s="53">
        <v>-0.01</v>
      </c>
      <c r="AG46" s="53">
        <v>66.989999999999995</v>
      </c>
      <c r="AH46" s="53">
        <v>100.53</v>
      </c>
      <c r="AI46" s="53">
        <v>103.63</v>
      </c>
      <c r="AJ46" s="53">
        <v>103.05</v>
      </c>
      <c r="AK46" s="53">
        <v>43.24</v>
      </c>
      <c r="AL46" s="53">
        <v>41.02</v>
      </c>
      <c r="AM46" s="53">
        <v>38.4</v>
      </c>
      <c r="AN46" s="53">
        <v>38.229999999999997</v>
      </c>
      <c r="AO46" s="53">
        <v>38.81</v>
      </c>
      <c r="AP46" s="53">
        <v>9387.57</v>
      </c>
      <c r="AQ46" s="53">
        <v>6.73</v>
      </c>
      <c r="AR46" s="53">
        <v>6.69</v>
      </c>
      <c r="AS46" s="53">
        <v>6.71</v>
      </c>
      <c r="AT46" s="53">
        <v>6.71</v>
      </c>
      <c r="AU46" s="53">
        <v>2972.02</v>
      </c>
      <c r="AV46" s="53">
        <v>126.32</v>
      </c>
      <c r="AW46" s="53">
        <v>119.02</v>
      </c>
      <c r="AX46" s="53">
        <v>2859.6</v>
      </c>
      <c r="AY46" s="53">
        <v>2951.33</v>
      </c>
      <c r="AZ46" s="53">
        <v>916.26</v>
      </c>
      <c r="BA46" s="53">
        <v>3473.2</v>
      </c>
      <c r="BB46" s="53">
        <v>3267.58</v>
      </c>
      <c r="BC46" s="53">
        <v>3142.86</v>
      </c>
      <c r="BD46" s="53">
        <v>3664.59</v>
      </c>
      <c r="BE46" s="53">
        <v>3562.04</v>
      </c>
      <c r="BF46" s="53">
        <v>3677.49</v>
      </c>
      <c r="BG46" s="53">
        <v>3570.91</v>
      </c>
      <c r="BH46" s="53">
        <v>2205.69</v>
      </c>
      <c r="BI46" s="53">
        <v>3498.67</v>
      </c>
      <c r="BJ46" s="53">
        <v>3502.06</v>
      </c>
      <c r="BK46" s="53">
        <v>3448.96</v>
      </c>
      <c r="BL46" s="53">
        <v>1599.76</v>
      </c>
      <c r="BM46" s="53">
        <v>3571.74</v>
      </c>
      <c r="BN46" s="53">
        <v>3521.61</v>
      </c>
    </row>
    <row r="47" spans="1:66" s="5" customFormat="1" ht="15" x14ac:dyDescent="0.3">
      <c r="A47" s="57" t="s">
        <v>158</v>
      </c>
      <c r="B47" s="53">
        <v>271.36</v>
      </c>
      <c r="C47" s="53">
        <v>2599918</v>
      </c>
      <c r="D47" s="53">
        <v>42200.69</v>
      </c>
      <c r="E47" s="53">
        <v>1126792.75</v>
      </c>
      <c r="F47" s="53">
        <v>2061511.75</v>
      </c>
      <c r="G47" s="53">
        <v>2164288.5</v>
      </c>
      <c r="H47" s="53">
        <v>10047533</v>
      </c>
      <c r="I47" s="53">
        <v>300.87</v>
      </c>
      <c r="J47" s="53">
        <v>7558.61</v>
      </c>
      <c r="K47" s="53">
        <v>1122870</v>
      </c>
      <c r="L47" s="53">
        <v>2039785.88</v>
      </c>
      <c r="M47" s="53">
        <v>2258947</v>
      </c>
      <c r="N47" s="53">
        <v>507.9</v>
      </c>
      <c r="O47" s="53">
        <v>18322.73</v>
      </c>
      <c r="P47" s="53">
        <v>203659.33</v>
      </c>
      <c r="Q47" s="53">
        <v>389168.5</v>
      </c>
      <c r="R47" s="53">
        <v>384395.75</v>
      </c>
      <c r="S47" s="53">
        <v>383212.16</v>
      </c>
      <c r="T47" s="53">
        <v>89496.66</v>
      </c>
      <c r="U47" s="53">
        <v>247265.77</v>
      </c>
      <c r="V47" s="53">
        <v>38.99</v>
      </c>
      <c r="W47" s="53">
        <v>39.07</v>
      </c>
      <c r="X47" s="53">
        <v>153.55000000000001</v>
      </c>
      <c r="Y47" s="53">
        <v>150.63</v>
      </c>
      <c r="Z47" s="53">
        <v>84.8</v>
      </c>
      <c r="AA47" s="53">
        <v>85.33</v>
      </c>
      <c r="AB47" s="53">
        <v>339.26</v>
      </c>
      <c r="AC47" s="53">
        <v>0.14000000000000001</v>
      </c>
      <c r="AD47" s="53">
        <v>-0.8</v>
      </c>
      <c r="AE47" s="53">
        <v>335.57</v>
      </c>
      <c r="AF47" s="53">
        <v>-0.01</v>
      </c>
      <c r="AG47" s="53">
        <v>67.099999999999994</v>
      </c>
      <c r="AH47" s="53">
        <v>101.05</v>
      </c>
      <c r="AI47" s="53">
        <v>103.63</v>
      </c>
      <c r="AJ47" s="53">
        <v>103.32</v>
      </c>
      <c r="AK47" s="53">
        <v>43.18</v>
      </c>
      <c r="AL47" s="53">
        <v>41.03</v>
      </c>
      <c r="AM47" s="53">
        <v>38.340000000000003</v>
      </c>
      <c r="AN47" s="53">
        <v>38.200000000000003</v>
      </c>
      <c r="AO47" s="53">
        <v>38.74</v>
      </c>
      <c r="AP47" s="53">
        <v>9408.2900000000009</v>
      </c>
      <c r="AQ47" s="53">
        <v>6.73</v>
      </c>
      <c r="AR47" s="53">
        <v>6.69</v>
      </c>
      <c r="AS47" s="53">
        <v>6.71</v>
      </c>
      <c r="AT47" s="53">
        <v>6.71</v>
      </c>
      <c r="AU47" s="53">
        <v>2972.1</v>
      </c>
      <c r="AV47" s="53">
        <v>126.32</v>
      </c>
      <c r="AW47" s="53">
        <v>119.02</v>
      </c>
      <c r="AX47" s="53">
        <v>2859.68</v>
      </c>
      <c r="AY47" s="53">
        <v>2951.33</v>
      </c>
      <c r="AZ47" s="53">
        <v>916.34</v>
      </c>
      <c r="BA47" s="53">
        <v>3473.28</v>
      </c>
      <c r="BB47" s="53">
        <v>3267.67</v>
      </c>
      <c r="BC47" s="53">
        <v>3142.94</v>
      </c>
      <c r="BD47" s="53">
        <v>3664.67</v>
      </c>
      <c r="BE47" s="53">
        <v>3562.12</v>
      </c>
      <c r="BF47" s="53">
        <v>3677.57</v>
      </c>
      <c r="BG47" s="53">
        <v>3570.99</v>
      </c>
      <c r="BH47" s="53">
        <v>2205.77</v>
      </c>
      <c r="BI47" s="53">
        <v>3498.76</v>
      </c>
      <c r="BJ47" s="53">
        <v>3502.14</v>
      </c>
      <c r="BK47" s="53">
        <v>3449.04</v>
      </c>
      <c r="BL47" s="53">
        <v>1599.85</v>
      </c>
      <c r="BM47" s="53">
        <v>3571.82</v>
      </c>
      <c r="BN47" s="53">
        <v>3521.69</v>
      </c>
    </row>
    <row r="48" spans="1:66" s="5" customFormat="1" ht="15" x14ac:dyDescent="0.3">
      <c r="A48" s="57" t="s">
        <v>159</v>
      </c>
      <c r="B48" s="53">
        <v>270.67</v>
      </c>
      <c r="C48" s="53">
        <v>2599952.25</v>
      </c>
      <c r="D48" s="53">
        <v>42200.69</v>
      </c>
      <c r="E48" s="53">
        <v>1126827</v>
      </c>
      <c r="F48" s="53">
        <v>2061569</v>
      </c>
      <c r="G48" s="53">
        <v>2164348.75</v>
      </c>
      <c r="H48" s="53">
        <v>10047600</v>
      </c>
      <c r="I48" s="53">
        <v>300.87</v>
      </c>
      <c r="J48" s="53">
        <v>7558.71</v>
      </c>
      <c r="K48" s="53">
        <v>1122901.75</v>
      </c>
      <c r="L48" s="53">
        <v>2039842.13</v>
      </c>
      <c r="M48" s="53">
        <v>2259015.25</v>
      </c>
      <c r="N48" s="53">
        <v>507.9</v>
      </c>
      <c r="O48" s="53">
        <v>18322.73</v>
      </c>
      <c r="P48" s="53">
        <v>203662.14</v>
      </c>
      <c r="Q48" s="53">
        <v>389171.75</v>
      </c>
      <c r="R48" s="53">
        <v>384399.22</v>
      </c>
      <c r="S48" s="53">
        <v>383215.53</v>
      </c>
      <c r="T48" s="53">
        <v>89498.27</v>
      </c>
      <c r="U48" s="53">
        <v>247267.45</v>
      </c>
      <c r="V48" s="53">
        <v>38.99</v>
      </c>
      <c r="W48" s="53">
        <v>39.07</v>
      </c>
      <c r="X48" s="53">
        <v>153.59</v>
      </c>
      <c r="Y48" s="53">
        <v>150.66</v>
      </c>
      <c r="Z48" s="53">
        <v>84.8</v>
      </c>
      <c r="AA48" s="53">
        <v>85.33</v>
      </c>
      <c r="AB48" s="53">
        <v>336.57</v>
      </c>
      <c r="AC48" s="53">
        <v>0.14000000000000001</v>
      </c>
      <c r="AD48" s="53">
        <v>-0.8</v>
      </c>
      <c r="AE48" s="53">
        <v>333.45</v>
      </c>
      <c r="AF48" s="53">
        <v>-0.01</v>
      </c>
      <c r="AG48" s="53">
        <v>67.05</v>
      </c>
      <c r="AH48" s="53">
        <v>101.05</v>
      </c>
      <c r="AI48" s="53">
        <v>104.04</v>
      </c>
      <c r="AJ48" s="53">
        <v>103.32</v>
      </c>
      <c r="AK48" s="53">
        <v>43.01</v>
      </c>
      <c r="AL48" s="53">
        <v>41.06</v>
      </c>
      <c r="AM48" s="53">
        <v>38.35</v>
      </c>
      <c r="AN48" s="53">
        <v>38.29</v>
      </c>
      <c r="AO48" s="53">
        <v>38.840000000000003</v>
      </c>
      <c r="AP48" s="53">
        <v>9367.6299999999992</v>
      </c>
      <c r="AQ48" s="53">
        <v>6.73</v>
      </c>
      <c r="AR48" s="53">
        <v>6.69</v>
      </c>
      <c r="AS48" s="53">
        <v>6.71</v>
      </c>
      <c r="AT48" s="53">
        <v>6.71</v>
      </c>
      <c r="AU48" s="53">
        <v>2972.18</v>
      </c>
      <c r="AV48" s="53">
        <v>126.32</v>
      </c>
      <c r="AW48" s="53">
        <v>119.02</v>
      </c>
      <c r="AX48" s="53">
        <v>2859.77</v>
      </c>
      <c r="AY48" s="53">
        <v>2951.33</v>
      </c>
      <c r="AZ48" s="53">
        <v>916.43</v>
      </c>
      <c r="BA48" s="53">
        <v>3473.36</v>
      </c>
      <c r="BB48" s="53">
        <v>3267.75</v>
      </c>
      <c r="BC48" s="53">
        <v>3143.03</v>
      </c>
      <c r="BD48" s="53">
        <v>3664.76</v>
      </c>
      <c r="BE48" s="53">
        <v>3562.21</v>
      </c>
      <c r="BF48" s="53">
        <v>3677.66</v>
      </c>
      <c r="BG48" s="53">
        <v>3571.07</v>
      </c>
      <c r="BH48" s="53">
        <v>2205.85</v>
      </c>
      <c r="BI48" s="53">
        <v>3498.84</v>
      </c>
      <c r="BJ48" s="53">
        <v>3502.22</v>
      </c>
      <c r="BK48" s="53">
        <v>3449.12</v>
      </c>
      <c r="BL48" s="53">
        <v>1599.93</v>
      </c>
      <c r="BM48" s="53">
        <v>3571.9</v>
      </c>
      <c r="BN48" s="53">
        <v>3521.77</v>
      </c>
    </row>
    <row r="49" spans="1:66" s="5" customFormat="1" ht="15" x14ac:dyDescent="0.3">
      <c r="A49" s="57" t="s">
        <v>160</v>
      </c>
      <c r="B49" s="53">
        <v>270.39</v>
      </c>
      <c r="C49" s="53">
        <v>2599986.5</v>
      </c>
      <c r="D49" s="53">
        <v>42200.69</v>
      </c>
      <c r="E49" s="53">
        <v>1126861.1299999999</v>
      </c>
      <c r="F49" s="53">
        <v>2061625.88</v>
      </c>
      <c r="G49" s="53">
        <v>2164408.5</v>
      </c>
      <c r="H49" s="53">
        <v>10047667</v>
      </c>
      <c r="I49" s="53">
        <v>300.87</v>
      </c>
      <c r="J49" s="53">
        <v>7558.81</v>
      </c>
      <c r="K49" s="53">
        <v>1122933.6299999999</v>
      </c>
      <c r="L49" s="53">
        <v>2039898.63</v>
      </c>
      <c r="M49" s="53">
        <v>2259083.5</v>
      </c>
      <c r="N49" s="53">
        <v>507.9</v>
      </c>
      <c r="O49" s="53">
        <v>18322.73</v>
      </c>
      <c r="P49" s="53">
        <v>203664.94</v>
      </c>
      <c r="Q49" s="53">
        <v>389174.97</v>
      </c>
      <c r="R49" s="53">
        <v>384402.16</v>
      </c>
      <c r="S49" s="53">
        <v>383218.97</v>
      </c>
      <c r="T49" s="53">
        <v>89500.39</v>
      </c>
      <c r="U49" s="53">
        <v>247269.97</v>
      </c>
      <c r="V49" s="53">
        <v>38.99</v>
      </c>
      <c r="W49" s="53">
        <v>39.07</v>
      </c>
      <c r="X49" s="53">
        <v>153.51</v>
      </c>
      <c r="Y49" s="53">
        <v>150.65</v>
      </c>
      <c r="Z49" s="53">
        <v>84.57</v>
      </c>
      <c r="AA49" s="53">
        <v>85.27</v>
      </c>
      <c r="AB49" s="53">
        <v>337.15</v>
      </c>
      <c r="AC49" s="53">
        <v>0.14000000000000001</v>
      </c>
      <c r="AD49" s="53">
        <v>-0.8</v>
      </c>
      <c r="AE49" s="53">
        <v>333.38</v>
      </c>
      <c r="AF49" s="53">
        <v>-0.01</v>
      </c>
      <c r="AG49" s="53">
        <v>66.86</v>
      </c>
      <c r="AH49" s="53">
        <v>101.05</v>
      </c>
      <c r="AI49" s="53">
        <v>103.5</v>
      </c>
      <c r="AJ49" s="53">
        <v>103.01</v>
      </c>
      <c r="AK49" s="53">
        <v>43.23</v>
      </c>
      <c r="AL49" s="53">
        <v>41.13</v>
      </c>
      <c r="AM49" s="53">
        <v>38.369999999999997</v>
      </c>
      <c r="AN49" s="53">
        <v>38.32</v>
      </c>
      <c r="AO49" s="53">
        <v>38.840000000000003</v>
      </c>
      <c r="AP49" s="53">
        <v>9373.2999999999993</v>
      </c>
      <c r="AQ49" s="53">
        <v>6.73</v>
      </c>
      <c r="AR49" s="53">
        <v>6.69</v>
      </c>
      <c r="AS49" s="53">
        <v>6.71</v>
      </c>
      <c r="AT49" s="53">
        <v>6.71</v>
      </c>
      <c r="AU49" s="53">
        <v>2972.27</v>
      </c>
      <c r="AV49" s="53">
        <v>126.32</v>
      </c>
      <c r="AW49" s="53">
        <v>119.02</v>
      </c>
      <c r="AX49" s="53">
        <v>2859.85</v>
      </c>
      <c r="AY49" s="53">
        <v>2951.33</v>
      </c>
      <c r="AZ49" s="53">
        <v>916.51</v>
      </c>
      <c r="BA49" s="53">
        <v>3473.45</v>
      </c>
      <c r="BB49" s="53">
        <v>3267.83</v>
      </c>
      <c r="BC49" s="53">
        <v>3143.11</v>
      </c>
      <c r="BD49" s="53">
        <v>3664.84</v>
      </c>
      <c r="BE49" s="53">
        <v>3562.29</v>
      </c>
      <c r="BF49" s="53">
        <v>3677.74</v>
      </c>
      <c r="BG49" s="53">
        <v>3571.16</v>
      </c>
      <c r="BH49" s="53">
        <v>2205.94</v>
      </c>
      <c r="BI49" s="53">
        <v>3498.92</v>
      </c>
      <c r="BJ49" s="53">
        <v>3502.31</v>
      </c>
      <c r="BK49" s="53">
        <v>3449.21</v>
      </c>
      <c r="BL49" s="53">
        <v>1600.01</v>
      </c>
      <c r="BM49" s="53">
        <v>3571.99</v>
      </c>
      <c r="BN49" s="53">
        <v>3521.86</v>
      </c>
    </row>
    <row r="50" spans="1:66" s="5" customFormat="1" ht="15" x14ac:dyDescent="0.3">
      <c r="A50" s="57" t="s">
        <v>161</v>
      </c>
      <c r="B50" s="53">
        <v>270.49</v>
      </c>
      <c r="C50" s="53">
        <v>2600021</v>
      </c>
      <c r="D50" s="53">
        <v>42200.69</v>
      </c>
      <c r="E50" s="53">
        <v>1126895.25</v>
      </c>
      <c r="F50" s="53">
        <v>2061683</v>
      </c>
      <c r="G50" s="53">
        <v>2164468.5</v>
      </c>
      <c r="H50" s="53">
        <v>10047734</v>
      </c>
      <c r="I50" s="53">
        <v>300.87</v>
      </c>
      <c r="J50" s="53">
        <v>7558.91</v>
      </c>
      <c r="K50" s="53">
        <v>1122965.3799999999</v>
      </c>
      <c r="L50" s="53">
        <v>2039955</v>
      </c>
      <c r="M50" s="53">
        <v>2259152</v>
      </c>
      <c r="N50" s="53">
        <v>507.9</v>
      </c>
      <c r="O50" s="53">
        <v>18322.73</v>
      </c>
      <c r="P50" s="53">
        <v>203667.73</v>
      </c>
      <c r="Q50" s="53">
        <v>389178.22</v>
      </c>
      <c r="R50" s="53">
        <v>384405.63</v>
      </c>
      <c r="S50" s="53">
        <v>383221.75</v>
      </c>
      <c r="T50" s="53">
        <v>89502</v>
      </c>
      <c r="U50" s="53">
        <v>247271.34</v>
      </c>
      <c r="V50" s="53">
        <v>38.99</v>
      </c>
      <c r="W50" s="53">
        <v>39.07</v>
      </c>
      <c r="X50" s="53">
        <v>153.34</v>
      </c>
      <c r="Y50" s="53">
        <v>151.13</v>
      </c>
      <c r="Z50" s="53">
        <v>84.6</v>
      </c>
      <c r="AA50" s="53">
        <v>85.23</v>
      </c>
      <c r="AB50" s="53">
        <v>336.41</v>
      </c>
      <c r="AC50" s="53">
        <v>0.14000000000000001</v>
      </c>
      <c r="AD50" s="53">
        <v>-0.8</v>
      </c>
      <c r="AE50" s="53">
        <v>332.86</v>
      </c>
      <c r="AF50" s="53">
        <v>-0.01</v>
      </c>
      <c r="AG50" s="53">
        <v>66.86</v>
      </c>
      <c r="AH50" s="53">
        <v>101.05</v>
      </c>
      <c r="AI50" s="53">
        <v>103.5</v>
      </c>
      <c r="AJ50" s="53">
        <v>102.81</v>
      </c>
      <c r="AK50" s="53">
        <v>43.25</v>
      </c>
      <c r="AL50" s="53">
        <v>41.13</v>
      </c>
      <c r="AM50" s="53">
        <v>38.409999999999997</v>
      </c>
      <c r="AN50" s="53">
        <v>38.340000000000003</v>
      </c>
      <c r="AO50" s="53">
        <v>38.92</v>
      </c>
      <c r="AP50" s="53">
        <v>9362.8700000000008</v>
      </c>
      <c r="AQ50" s="53">
        <v>6.73</v>
      </c>
      <c r="AR50" s="53">
        <v>6.69</v>
      </c>
      <c r="AS50" s="53">
        <v>6.71</v>
      </c>
      <c r="AT50" s="53">
        <v>6.71</v>
      </c>
      <c r="AU50" s="53">
        <v>2972.35</v>
      </c>
      <c r="AV50" s="53">
        <v>126.32</v>
      </c>
      <c r="AW50" s="53">
        <v>119.02</v>
      </c>
      <c r="AX50" s="53">
        <v>2859.93</v>
      </c>
      <c r="AY50" s="53">
        <v>2951.33</v>
      </c>
      <c r="AZ50" s="53">
        <v>916.59</v>
      </c>
      <c r="BA50" s="53">
        <v>3473.53</v>
      </c>
      <c r="BB50" s="53">
        <v>3267.92</v>
      </c>
      <c r="BC50" s="53">
        <v>3143.19</v>
      </c>
      <c r="BD50" s="53">
        <v>3664.92</v>
      </c>
      <c r="BE50" s="53">
        <v>3562.37</v>
      </c>
      <c r="BF50" s="53">
        <v>3677.82</v>
      </c>
      <c r="BG50" s="53">
        <v>3571.24</v>
      </c>
      <c r="BH50" s="53">
        <v>2206.02</v>
      </c>
      <c r="BI50" s="53">
        <v>3499.01</v>
      </c>
      <c r="BJ50" s="53">
        <v>3502.39</v>
      </c>
      <c r="BK50" s="53">
        <v>3449.29</v>
      </c>
      <c r="BL50" s="53">
        <v>1600.1</v>
      </c>
      <c r="BM50" s="53">
        <v>3572.07</v>
      </c>
      <c r="BN50" s="53">
        <v>3521.94</v>
      </c>
    </row>
    <row r="51" spans="1:66" s="5" customFormat="1" ht="15" x14ac:dyDescent="0.3">
      <c r="A51" s="57" t="s">
        <v>162</v>
      </c>
      <c r="B51" s="53">
        <v>270.83</v>
      </c>
      <c r="C51" s="53">
        <v>2600055.25</v>
      </c>
      <c r="D51" s="53">
        <v>42200.69</v>
      </c>
      <c r="E51" s="53">
        <v>1126929.3799999999</v>
      </c>
      <c r="F51" s="53">
        <v>2061739.88</v>
      </c>
      <c r="G51" s="53">
        <v>2164528</v>
      </c>
      <c r="H51" s="53">
        <v>10047801</v>
      </c>
      <c r="I51" s="53">
        <v>300.87</v>
      </c>
      <c r="J51" s="53">
        <v>7559.01</v>
      </c>
      <c r="K51" s="53">
        <v>1122997.25</v>
      </c>
      <c r="L51" s="53">
        <v>2040011.5</v>
      </c>
      <c r="M51" s="53">
        <v>2259220.25</v>
      </c>
      <c r="N51" s="53">
        <v>507.9</v>
      </c>
      <c r="O51" s="53">
        <v>18322.73</v>
      </c>
      <c r="P51" s="53">
        <v>203670.53</v>
      </c>
      <c r="Q51" s="53">
        <v>389181.44</v>
      </c>
      <c r="R51" s="53">
        <v>384409.09</v>
      </c>
      <c r="S51" s="53">
        <v>383225.16</v>
      </c>
      <c r="T51" s="53">
        <v>89504.13</v>
      </c>
      <c r="U51" s="53">
        <v>247272.75</v>
      </c>
      <c r="V51" s="53">
        <v>38.99</v>
      </c>
      <c r="W51" s="53">
        <v>39.07</v>
      </c>
      <c r="X51" s="53">
        <v>153.47999999999999</v>
      </c>
      <c r="Y51" s="53">
        <v>151.22999999999999</v>
      </c>
      <c r="Z51" s="53">
        <v>84.76</v>
      </c>
      <c r="AA51" s="53">
        <v>85.21</v>
      </c>
      <c r="AB51" s="53">
        <v>337.16</v>
      </c>
      <c r="AC51" s="53">
        <v>0.14000000000000001</v>
      </c>
      <c r="AD51" s="53">
        <v>-0.8</v>
      </c>
      <c r="AE51" s="53">
        <v>333.48</v>
      </c>
      <c r="AF51" s="53">
        <v>-0.01</v>
      </c>
      <c r="AG51" s="53">
        <v>66.81</v>
      </c>
      <c r="AH51" s="53">
        <v>101.05</v>
      </c>
      <c r="AI51" s="53">
        <v>103.5</v>
      </c>
      <c r="AJ51" s="53">
        <v>102.81</v>
      </c>
      <c r="AK51" s="53">
        <v>43.26</v>
      </c>
      <c r="AL51" s="53">
        <v>41.14</v>
      </c>
      <c r="AM51" s="53">
        <v>38.4</v>
      </c>
      <c r="AN51" s="53">
        <v>38.33</v>
      </c>
      <c r="AO51" s="53">
        <v>38.89</v>
      </c>
      <c r="AP51" s="53">
        <v>9385.56</v>
      </c>
      <c r="AQ51" s="53">
        <v>6.73</v>
      </c>
      <c r="AR51" s="53">
        <v>6.69</v>
      </c>
      <c r="AS51" s="53">
        <v>6.71</v>
      </c>
      <c r="AT51" s="53">
        <v>6.71</v>
      </c>
      <c r="AU51" s="53">
        <v>2972.43</v>
      </c>
      <c r="AV51" s="53">
        <v>126.32</v>
      </c>
      <c r="AW51" s="53">
        <v>119.02</v>
      </c>
      <c r="AX51" s="53">
        <v>2860.02</v>
      </c>
      <c r="AY51" s="53">
        <v>2951.33</v>
      </c>
      <c r="AZ51" s="53">
        <v>916.68</v>
      </c>
      <c r="BA51" s="53">
        <v>3473.61</v>
      </c>
      <c r="BB51" s="53">
        <v>3268</v>
      </c>
      <c r="BC51" s="53">
        <v>3143.28</v>
      </c>
      <c r="BD51" s="53">
        <v>3665.01</v>
      </c>
      <c r="BE51" s="53">
        <v>3562.46</v>
      </c>
      <c r="BF51" s="53">
        <v>3677.91</v>
      </c>
      <c r="BG51" s="53">
        <v>3571.32</v>
      </c>
      <c r="BH51" s="53">
        <v>2206.1</v>
      </c>
      <c r="BI51" s="53">
        <v>3499.09</v>
      </c>
      <c r="BJ51" s="53">
        <v>3502.47</v>
      </c>
      <c r="BK51" s="53">
        <v>3449.37</v>
      </c>
      <c r="BL51" s="53">
        <v>1600.18</v>
      </c>
      <c r="BM51" s="53">
        <v>3572.15</v>
      </c>
      <c r="BN51" s="53">
        <v>3522.02</v>
      </c>
    </row>
    <row r="52" spans="1:66" s="5" customFormat="1" ht="15" x14ac:dyDescent="0.3">
      <c r="A52" s="57" t="s">
        <v>163</v>
      </c>
      <c r="B52" s="53">
        <v>271.81</v>
      </c>
      <c r="C52" s="53">
        <v>2600089.75</v>
      </c>
      <c r="D52" s="53">
        <v>42200.69</v>
      </c>
      <c r="E52" s="53">
        <v>1126963.8799999999</v>
      </c>
      <c r="F52" s="53">
        <v>2061797.25</v>
      </c>
      <c r="G52" s="53">
        <v>2164588.25</v>
      </c>
      <c r="H52" s="53">
        <v>10047868</v>
      </c>
      <c r="I52" s="53">
        <v>300.87</v>
      </c>
      <c r="J52" s="53">
        <v>7559.12</v>
      </c>
      <c r="K52" s="53">
        <v>1123029</v>
      </c>
      <c r="L52" s="53">
        <v>2040067.88</v>
      </c>
      <c r="M52" s="53">
        <v>2259289</v>
      </c>
      <c r="N52" s="53">
        <v>507.9</v>
      </c>
      <c r="O52" s="53">
        <v>18322.73</v>
      </c>
      <c r="P52" s="53">
        <v>203673.33</v>
      </c>
      <c r="Q52" s="53">
        <v>389184.69</v>
      </c>
      <c r="R52" s="53">
        <v>384412.59</v>
      </c>
      <c r="S52" s="53">
        <v>383228.5</v>
      </c>
      <c r="T52" s="53">
        <v>89505.7</v>
      </c>
      <c r="U52" s="53">
        <v>247274.63</v>
      </c>
      <c r="V52" s="53">
        <v>38.99</v>
      </c>
      <c r="W52" s="53">
        <v>39.07</v>
      </c>
      <c r="X52" s="53">
        <v>153.57</v>
      </c>
      <c r="Y52" s="53">
        <v>150.94999999999999</v>
      </c>
      <c r="Z52" s="53">
        <v>84.64</v>
      </c>
      <c r="AA52" s="53">
        <v>84.76</v>
      </c>
      <c r="AB52" s="53">
        <v>339.78</v>
      </c>
      <c r="AC52" s="53">
        <v>0.14000000000000001</v>
      </c>
      <c r="AD52" s="53">
        <v>-0.8</v>
      </c>
      <c r="AE52" s="53">
        <v>336.29</v>
      </c>
      <c r="AF52" s="53">
        <v>-0.01</v>
      </c>
      <c r="AG52" s="53">
        <v>67.02</v>
      </c>
      <c r="AH52" s="53">
        <v>101.05</v>
      </c>
      <c r="AI52" s="53">
        <v>103.5</v>
      </c>
      <c r="AJ52" s="53">
        <v>102.81</v>
      </c>
      <c r="AK52" s="53">
        <v>43.34</v>
      </c>
      <c r="AL52" s="53">
        <v>41.12</v>
      </c>
      <c r="AM52" s="53">
        <v>38.369999999999997</v>
      </c>
      <c r="AN52" s="53">
        <v>38.31</v>
      </c>
      <c r="AO52" s="53">
        <v>38.909999999999997</v>
      </c>
      <c r="AP52" s="53">
        <v>9415.82</v>
      </c>
      <c r="AQ52" s="53">
        <v>6.73</v>
      </c>
      <c r="AR52" s="53">
        <v>6.69</v>
      </c>
      <c r="AS52" s="53">
        <v>6.71</v>
      </c>
      <c r="AT52" s="53">
        <v>6.71</v>
      </c>
      <c r="AU52" s="53">
        <v>2972.52</v>
      </c>
      <c r="AV52" s="53">
        <v>126.32</v>
      </c>
      <c r="AW52" s="53">
        <v>119.02</v>
      </c>
      <c r="AX52" s="53">
        <v>2860.1</v>
      </c>
      <c r="AY52" s="53">
        <v>2951.33</v>
      </c>
      <c r="AZ52" s="53">
        <v>916.76</v>
      </c>
      <c r="BA52" s="53">
        <v>3473.7</v>
      </c>
      <c r="BB52" s="53">
        <v>3268.08</v>
      </c>
      <c r="BC52" s="53">
        <v>3143.36</v>
      </c>
      <c r="BD52" s="53">
        <v>3665.09</v>
      </c>
      <c r="BE52" s="53">
        <v>3562.54</v>
      </c>
      <c r="BF52" s="53">
        <v>3677.99</v>
      </c>
      <c r="BG52" s="53">
        <v>3571.41</v>
      </c>
      <c r="BH52" s="53">
        <v>2206.19</v>
      </c>
      <c r="BI52" s="53">
        <v>3499.17</v>
      </c>
      <c r="BJ52" s="53">
        <v>3502.56</v>
      </c>
      <c r="BK52" s="53">
        <v>3449.46</v>
      </c>
      <c r="BL52" s="53">
        <v>1600.26</v>
      </c>
      <c r="BM52" s="53">
        <v>3572.24</v>
      </c>
      <c r="BN52" s="53">
        <v>3522.11</v>
      </c>
    </row>
    <row r="54" spans="1:66" x14ac:dyDescent="0.2">
      <c r="A54" s="58" t="s">
        <v>164</v>
      </c>
      <c r="B54" s="53">
        <v>274.12</v>
      </c>
      <c r="C54" s="53">
        <v>678652.25</v>
      </c>
      <c r="D54" s="53">
        <v>819435.69</v>
      </c>
      <c r="E54" s="53">
        <v>387036</v>
      </c>
      <c r="F54" s="53">
        <v>1551876.63</v>
      </c>
      <c r="G54" s="53">
        <v>1864747.75</v>
      </c>
      <c r="H54" s="53">
        <v>9645328.3300000001</v>
      </c>
      <c r="I54" s="53">
        <v>226871.67</v>
      </c>
      <c r="J54" s="53">
        <v>9339.4699999999993</v>
      </c>
      <c r="K54" s="53">
        <v>902549.25</v>
      </c>
      <c r="L54" s="53">
        <v>1649986.25</v>
      </c>
      <c r="M54" s="53">
        <v>1841824.38</v>
      </c>
      <c r="N54" s="53">
        <v>218.49</v>
      </c>
      <c r="O54" s="53">
        <v>30370.41</v>
      </c>
      <c r="P54" s="53">
        <v>53938.01</v>
      </c>
      <c r="Q54" s="53">
        <v>95140.66</v>
      </c>
      <c r="R54" s="53">
        <v>113796.04</v>
      </c>
      <c r="S54" s="53">
        <v>108972.75</v>
      </c>
      <c r="T54" s="53">
        <v>55620</v>
      </c>
      <c r="U54" s="53">
        <v>62743.75</v>
      </c>
      <c r="V54" s="53">
        <v>40.07</v>
      </c>
      <c r="W54" s="53">
        <v>39.4</v>
      </c>
      <c r="X54" s="53">
        <v>159.30000000000001</v>
      </c>
      <c r="Y54" s="53">
        <v>163.79</v>
      </c>
      <c r="Z54" s="53">
        <v>87.16</v>
      </c>
      <c r="AA54" s="53">
        <v>91.65</v>
      </c>
      <c r="AB54" s="53">
        <v>365.06</v>
      </c>
      <c r="AC54" s="53">
        <v>-0.11</v>
      </c>
      <c r="AD54" s="53">
        <v>351.46</v>
      </c>
      <c r="AE54" s="53">
        <v>-0.88</v>
      </c>
      <c r="AF54" s="53">
        <v>63.76</v>
      </c>
      <c r="AG54" s="53">
        <v>-0.12</v>
      </c>
      <c r="AH54" s="53">
        <v>99.24</v>
      </c>
      <c r="AI54" s="53">
        <v>95.16</v>
      </c>
      <c r="AJ54" s="53">
        <v>102.38</v>
      </c>
      <c r="AK54" s="53">
        <v>49.93</v>
      </c>
      <c r="AL54" s="53">
        <v>40.85</v>
      </c>
      <c r="AM54" s="53">
        <v>40.65</v>
      </c>
      <c r="AN54" s="53">
        <v>41.02</v>
      </c>
      <c r="AO54" s="53">
        <v>41.4</v>
      </c>
      <c r="AP54" s="53">
        <v>9426.69</v>
      </c>
      <c r="AQ54" s="53">
        <v>6.74</v>
      </c>
      <c r="AR54" s="53">
        <v>6.74</v>
      </c>
      <c r="AS54" s="53">
        <v>6.71</v>
      </c>
      <c r="AT54" s="53">
        <v>6.74</v>
      </c>
      <c r="AU54" s="53">
        <v>1787.01</v>
      </c>
      <c r="AV54" s="53">
        <v>2189.02</v>
      </c>
      <c r="AW54" s="53">
        <v>579.65</v>
      </c>
      <c r="AX54" s="53">
        <v>423.88</v>
      </c>
      <c r="AY54" s="53">
        <v>1753.26</v>
      </c>
      <c r="AZ54" s="53">
        <v>1401.08</v>
      </c>
      <c r="BA54" s="53">
        <v>2792.1</v>
      </c>
      <c r="BB54" s="53">
        <v>2736.19</v>
      </c>
      <c r="BC54" s="53">
        <v>2381.2199999999998</v>
      </c>
      <c r="BD54" s="53">
        <v>2932.69</v>
      </c>
      <c r="BE54" s="53">
        <v>2849.09</v>
      </c>
      <c r="BF54" s="53">
        <v>2962.23</v>
      </c>
      <c r="BG54" s="53">
        <v>2834.21</v>
      </c>
      <c r="BH54" s="53">
        <v>1743.61</v>
      </c>
      <c r="BI54" s="53">
        <v>2332.25</v>
      </c>
      <c r="BJ54" s="53">
        <v>2781.68</v>
      </c>
      <c r="BK54" s="53">
        <v>2770.11</v>
      </c>
      <c r="BL54" s="53">
        <v>1801.27</v>
      </c>
      <c r="BM54" s="53">
        <v>2864.34</v>
      </c>
      <c r="BN54" s="53">
        <v>2823.45</v>
      </c>
    </row>
    <row r="55" spans="1:66" x14ac:dyDescent="0.2">
      <c r="A55" s="58" t="s">
        <v>165</v>
      </c>
      <c r="B55" s="53">
        <v>275.7</v>
      </c>
      <c r="C55" s="53">
        <v>678689.31</v>
      </c>
      <c r="D55" s="53">
        <v>819435.69</v>
      </c>
      <c r="E55" s="53">
        <v>387072.69</v>
      </c>
      <c r="F55" s="53">
        <v>1551933.63</v>
      </c>
      <c r="G55" s="53">
        <v>1864807.13</v>
      </c>
      <c r="H55" s="53">
        <v>9645395.6099999994</v>
      </c>
      <c r="I55" s="53">
        <v>226871.67</v>
      </c>
      <c r="J55" s="53">
        <v>9339.68</v>
      </c>
      <c r="K55" s="53">
        <v>902581.44</v>
      </c>
      <c r="L55" s="53">
        <v>1650042.13</v>
      </c>
      <c r="M55" s="53">
        <v>1841893.38</v>
      </c>
      <c r="N55" s="53">
        <v>218.49</v>
      </c>
      <c r="O55" s="53">
        <v>30370.41</v>
      </c>
      <c r="P55" s="53">
        <v>53941.25</v>
      </c>
      <c r="Q55" s="53">
        <v>95144</v>
      </c>
      <c r="R55" s="53">
        <v>113799.51</v>
      </c>
      <c r="S55" s="53">
        <v>108975.95</v>
      </c>
      <c r="T55" s="53">
        <v>55622.9</v>
      </c>
      <c r="U55" s="53">
        <v>62743.75</v>
      </c>
      <c r="V55" s="53">
        <v>40.07</v>
      </c>
      <c r="W55" s="53">
        <v>39.42</v>
      </c>
      <c r="X55" s="53">
        <v>158.6</v>
      </c>
      <c r="Y55" s="53">
        <v>163.56</v>
      </c>
      <c r="Z55" s="53">
        <v>87.16</v>
      </c>
      <c r="AA55" s="53">
        <v>91.65</v>
      </c>
      <c r="AB55" s="53">
        <v>368.79</v>
      </c>
      <c r="AC55" s="53">
        <v>-0.11</v>
      </c>
      <c r="AD55" s="53">
        <v>354.72</v>
      </c>
      <c r="AE55" s="53">
        <v>-0.88</v>
      </c>
      <c r="AF55" s="53">
        <v>64.05</v>
      </c>
      <c r="AG55" s="53">
        <v>-0.12</v>
      </c>
      <c r="AH55" s="53">
        <v>99.21</v>
      </c>
      <c r="AI55" s="53">
        <v>95.22</v>
      </c>
      <c r="AJ55" s="53">
        <v>102.42</v>
      </c>
      <c r="AK55" s="53">
        <v>49.83</v>
      </c>
      <c r="AL55" s="53">
        <v>40.74</v>
      </c>
      <c r="AM55" s="53">
        <v>40.71</v>
      </c>
      <c r="AN55" s="53">
        <v>40.69</v>
      </c>
      <c r="AO55" s="53">
        <v>41.49</v>
      </c>
      <c r="AP55" s="53">
        <v>9503.39</v>
      </c>
      <c r="AQ55" s="53">
        <v>6.74</v>
      </c>
      <c r="AR55" s="53">
        <v>6.74</v>
      </c>
      <c r="AS55" s="53">
        <v>6.71</v>
      </c>
      <c r="AT55" s="53">
        <v>6.74</v>
      </c>
      <c r="AU55" s="53">
        <v>1787.11</v>
      </c>
      <c r="AV55" s="53">
        <v>2189.02</v>
      </c>
      <c r="AW55" s="53">
        <v>579.74</v>
      </c>
      <c r="AX55" s="53">
        <v>423.88</v>
      </c>
      <c r="AY55" s="53">
        <v>1753.35</v>
      </c>
      <c r="AZ55" s="53">
        <v>1401.08</v>
      </c>
      <c r="BA55" s="53">
        <v>2792.19</v>
      </c>
      <c r="BB55" s="53">
        <v>2736.28</v>
      </c>
      <c r="BC55" s="53">
        <v>2381.3200000000002</v>
      </c>
      <c r="BD55" s="53">
        <v>2932.79</v>
      </c>
      <c r="BE55" s="53">
        <v>2849.18</v>
      </c>
      <c r="BF55" s="53">
        <v>2962.32</v>
      </c>
      <c r="BG55" s="53">
        <v>2834.3</v>
      </c>
      <c r="BH55" s="53">
        <v>1743.7</v>
      </c>
      <c r="BI55" s="53">
        <v>2332.35</v>
      </c>
      <c r="BJ55" s="53">
        <v>2781.77</v>
      </c>
      <c r="BK55" s="53">
        <v>2770.21</v>
      </c>
      <c r="BL55" s="53">
        <v>1801.37</v>
      </c>
      <c r="BM55" s="53">
        <v>2864.43</v>
      </c>
      <c r="BN55" s="53">
        <v>2823.55</v>
      </c>
    </row>
    <row r="56" spans="1:66" x14ac:dyDescent="0.2">
      <c r="A56" s="58" t="s">
        <v>166</v>
      </c>
      <c r="B56" s="53">
        <v>275.77</v>
      </c>
      <c r="C56" s="53">
        <v>678726.88</v>
      </c>
      <c r="D56" s="53">
        <v>819435.69</v>
      </c>
      <c r="E56" s="53">
        <v>387110.09</v>
      </c>
      <c r="F56" s="53">
        <v>1551991.5</v>
      </c>
      <c r="G56" s="53">
        <v>1864867.25</v>
      </c>
      <c r="H56" s="53">
        <v>9645463.3200000003</v>
      </c>
      <c r="I56" s="53">
        <v>226871.67</v>
      </c>
      <c r="J56" s="53">
        <v>9339.8799999999992</v>
      </c>
      <c r="K56" s="53">
        <v>902613.75</v>
      </c>
      <c r="L56" s="53">
        <v>1650098</v>
      </c>
      <c r="M56" s="53">
        <v>1841963.5</v>
      </c>
      <c r="N56" s="53">
        <v>218.49</v>
      </c>
      <c r="O56" s="53">
        <v>30370.41</v>
      </c>
      <c r="P56" s="53">
        <v>53944.49</v>
      </c>
      <c r="Q56" s="53">
        <v>95147.34</v>
      </c>
      <c r="R56" s="53">
        <v>113802.88</v>
      </c>
      <c r="S56" s="53">
        <v>108979.25</v>
      </c>
      <c r="T56" s="53">
        <v>55625.88</v>
      </c>
      <c r="U56" s="53">
        <v>62743.75</v>
      </c>
      <c r="V56" s="53">
        <v>40.08</v>
      </c>
      <c r="W56" s="53">
        <v>39.44</v>
      </c>
      <c r="X56" s="53">
        <v>158.38</v>
      </c>
      <c r="Y56" s="53">
        <v>163.47999999999999</v>
      </c>
      <c r="Z56" s="53">
        <v>87.21</v>
      </c>
      <c r="AA56" s="53">
        <v>91.67</v>
      </c>
      <c r="AB56" s="53">
        <v>375.12</v>
      </c>
      <c r="AC56" s="53">
        <v>-0.11</v>
      </c>
      <c r="AD56" s="53">
        <v>359.95</v>
      </c>
      <c r="AE56" s="53">
        <v>-0.88</v>
      </c>
      <c r="AF56" s="53">
        <v>64.53</v>
      </c>
      <c r="AG56" s="53">
        <v>-0.12</v>
      </c>
      <c r="AH56" s="53">
        <v>99.25</v>
      </c>
      <c r="AI56" s="53">
        <v>95.22</v>
      </c>
      <c r="AJ56" s="53">
        <v>102.36</v>
      </c>
      <c r="AK56" s="53">
        <v>49.73</v>
      </c>
      <c r="AL56" s="53">
        <v>40.700000000000003</v>
      </c>
      <c r="AM56" s="53">
        <v>40.81</v>
      </c>
      <c r="AN56" s="53">
        <v>40.770000000000003</v>
      </c>
      <c r="AO56" s="53">
        <v>41.35</v>
      </c>
      <c r="AP56" s="53">
        <v>9558.7099999999991</v>
      </c>
      <c r="AQ56" s="53">
        <v>6.74</v>
      </c>
      <c r="AR56" s="53">
        <v>6.74</v>
      </c>
      <c r="AS56" s="53">
        <v>6.71</v>
      </c>
      <c r="AT56" s="53">
        <v>6.74</v>
      </c>
      <c r="AU56" s="53">
        <v>1787.19</v>
      </c>
      <c r="AV56" s="53">
        <v>2189.02</v>
      </c>
      <c r="AW56" s="53">
        <v>579.82000000000005</v>
      </c>
      <c r="AX56" s="53">
        <v>423.88</v>
      </c>
      <c r="AY56" s="53">
        <v>1753.43</v>
      </c>
      <c r="AZ56" s="53">
        <v>1401.08</v>
      </c>
      <c r="BA56" s="53">
        <v>2792.27</v>
      </c>
      <c r="BB56" s="53">
        <v>2736.36</v>
      </c>
      <c r="BC56" s="53">
        <v>2381.4</v>
      </c>
      <c r="BD56" s="53">
        <v>2932.87</v>
      </c>
      <c r="BE56" s="53">
        <v>2849.26</v>
      </c>
      <c r="BF56" s="53">
        <v>2962.4</v>
      </c>
      <c r="BG56" s="53">
        <v>2834.38</v>
      </c>
      <c r="BH56" s="53">
        <v>1743.78</v>
      </c>
      <c r="BI56" s="53">
        <v>2332.4299999999998</v>
      </c>
      <c r="BJ56" s="53">
        <v>2781.85</v>
      </c>
      <c r="BK56" s="53">
        <v>2770.29</v>
      </c>
      <c r="BL56" s="53">
        <v>1801.45</v>
      </c>
      <c r="BM56" s="53">
        <v>2864.51</v>
      </c>
      <c r="BN56" s="53">
        <v>2823.63</v>
      </c>
    </row>
    <row r="57" spans="1:66" x14ac:dyDescent="0.2">
      <c r="A57" s="58" t="s">
        <v>167</v>
      </c>
      <c r="B57" s="53">
        <v>271.42</v>
      </c>
      <c r="C57" s="53">
        <v>678764.06</v>
      </c>
      <c r="D57" s="53">
        <v>819435.69</v>
      </c>
      <c r="E57" s="53">
        <v>387147.03</v>
      </c>
      <c r="F57" s="53">
        <v>1552049</v>
      </c>
      <c r="G57" s="53">
        <v>1864927.25</v>
      </c>
      <c r="H57" s="53">
        <v>9645530.9600000009</v>
      </c>
      <c r="I57" s="53">
        <v>226871.67</v>
      </c>
      <c r="J57" s="53">
        <v>9340.2000000000007</v>
      </c>
      <c r="K57" s="53">
        <v>902646.19</v>
      </c>
      <c r="L57" s="53">
        <v>1650153.88</v>
      </c>
      <c r="M57" s="53">
        <v>1842032.88</v>
      </c>
      <c r="N57" s="53">
        <v>218.49</v>
      </c>
      <c r="O57" s="53">
        <v>30370.41</v>
      </c>
      <c r="P57" s="53">
        <v>53947.74</v>
      </c>
      <c r="Q57" s="53">
        <v>95150.69</v>
      </c>
      <c r="R57" s="53">
        <v>113806.26</v>
      </c>
      <c r="S57" s="53">
        <v>108982.45</v>
      </c>
      <c r="T57" s="53">
        <v>55628.7</v>
      </c>
      <c r="U57" s="53">
        <v>62743.96</v>
      </c>
      <c r="V57" s="53">
        <v>40.06</v>
      </c>
      <c r="W57" s="53">
        <v>39.39</v>
      </c>
      <c r="X57" s="53">
        <v>158.22999999999999</v>
      </c>
      <c r="Y57" s="53">
        <v>163.25</v>
      </c>
      <c r="Z57" s="53">
        <v>87.19</v>
      </c>
      <c r="AA57" s="53">
        <v>91.66</v>
      </c>
      <c r="AB57" s="53">
        <v>369.48</v>
      </c>
      <c r="AC57" s="53">
        <v>-0.11</v>
      </c>
      <c r="AD57" s="53">
        <v>354.98</v>
      </c>
      <c r="AE57" s="53">
        <v>-0.88</v>
      </c>
      <c r="AF57" s="53">
        <v>64.27</v>
      </c>
      <c r="AG57" s="53">
        <v>-0.12</v>
      </c>
      <c r="AH57" s="53">
        <v>99.22</v>
      </c>
      <c r="AI57" s="53">
        <v>95.09</v>
      </c>
      <c r="AJ57" s="53">
        <v>102.24</v>
      </c>
      <c r="AK57" s="53">
        <v>49.74</v>
      </c>
      <c r="AL57" s="53">
        <v>40.71</v>
      </c>
      <c r="AM57" s="53">
        <v>40.840000000000003</v>
      </c>
      <c r="AN57" s="53">
        <v>40.69</v>
      </c>
      <c r="AO57" s="53">
        <v>40.89</v>
      </c>
      <c r="AP57" s="53">
        <v>9412.42</v>
      </c>
      <c r="AQ57" s="53">
        <v>6.74</v>
      </c>
      <c r="AR57" s="53">
        <v>6.74</v>
      </c>
      <c r="AS57" s="53">
        <v>6.71</v>
      </c>
      <c r="AT57" s="53">
        <v>6.74</v>
      </c>
      <c r="AU57" s="53">
        <v>1787.27</v>
      </c>
      <c r="AV57" s="53">
        <v>2189.02</v>
      </c>
      <c r="AW57" s="53">
        <v>579.9</v>
      </c>
      <c r="AX57" s="53">
        <v>423.88</v>
      </c>
      <c r="AY57" s="53">
        <v>1753.51</v>
      </c>
      <c r="AZ57" s="53">
        <v>1401.08</v>
      </c>
      <c r="BA57" s="53">
        <v>2792.35</v>
      </c>
      <c r="BB57" s="53">
        <v>2736.44</v>
      </c>
      <c r="BC57" s="53">
        <v>2381.48</v>
      </c>
      <c r="BD57" s="53">
        <v>2932.95</v>
      </c>
      <c r="BE57" s="53">
        <v>2849.34</v>
      </c>
      <c r="BF57" s="53">
        <v>2962.48</v>
      </c>
      <c r="BG57" s="53">
        <v>2834.46</v>
      </c>
      <c r="BH57" s="53">
        <v>1743.86</v>
      </c>
      <c r="BI57" s="53">
        <v>2332.5100000000002</v>
      </c>
      <c r="BJ57" s="53">
        <v>2781.93</v>
      </c>
      <c r="BK57" s="53">
        <v>2770.37</v>
      </c>
      <c r="BL57" s="53">
        <v>1801.53</v>
      </c>
      <c r="BM57" s="53">
        <v>2864.59</v>
      </c>
      <c r="BN57" s="53">
        <v>2823.71</v>
      </c>
    </row>
    <row r="58" spans="1:66" x14ac:dyDescent="0.2">
      <c r="A58" s="58" t="s">
        <v>168</v>
      </c>
      <c r="B58" s="53">
        <v>272.75</v>
      </c>
      <c r="C58" s="53">
        <v>678800.88</v>
      </c>
      <c r="D58" s="53">
        <v>819435.69</v>
      </c>
      <c r="E58" s="53">
        <v>387183.53</v>
      </c>
      <c r="F58" s="53">
        <v>1552105.5</v>
      </c>
      <c r="G58" s="53">
        <v>1864986.13</v>
      </c>
      <c r="H58" s="53">
        <v>9645597.6899999995</v>
      </c>
      <c r="I58" s="53">
        <v>226871.67</v>
      </c>
      <c r="J58" s="53">
        <v>9340.41</v>
      </c>
      <c r="K58" s="53">
        <v>902678.56</v>
      </c>
      <c r="L58" s="53">
        <v>1650209.75</v>
      </c>
      <c r="M58" s="53">
        <v>1842101.38</v>
      </c>
      <c r="N58" s="53">
        <v>218.49</v>
      </c>
      <c r="O58" s="53">
        <v>30370.41</v>
      </c>
      <c r="P58" s="53">
        <v>53950.96</v>
      </c>
      <c r="Q58" s="53">
        <v>95154.03</v>
      </c>
      <c r="R58" s="53">
        <v>113809.73</v>
      </c>
      <c r="S58" s="53">
        <v>108985.77</v>
      </c>
      <c r="T58" s="53">
        <v>55631.43</v>
      </c>
      <c r="U58" s="53">
        <v>62745.23</v>
      </c>
      <c r="V58" s="53">
        <v>40.08</v>
      </c>
      <c r="W58" s="53">
        <v>39.43</v>
      </c>
      <c r="X58" s="53">
        <v>158.16</v>
      </c>
      <c r="Y58" s="53">
        <v>163.30000000000001</v>
      </c>
      <c r="Z58" s="53">
        <v>87.35</v>
      </c>
      <c r="AA58" s="53">
        <v>92.09</v>
      </c>
      <c r="AB58" s="53">
        <v>365.56</v>
      </c>
      <c r="AC58" s="53">
        <v>-0.11</v>
      </c>
      <c r="AD58" s="53">
        <v>351.9</v>
      </c>
      <c r="AE58" s="53">
        <v>-0.88</v>
      </c>
      <c r="AF58" s="53">
        <v>63.75</v>
      </c>
      <c r="AG58" s="53">
        <v>-0.12</v>
      </c>
      <c r="AH58" s="53">
        <v>99.22</v>
      </c>
      <c r="AI58" s="53">
        <v>95.06</v>
      </c>
      <c r="AJ58" s="53">
        <v>102.18</v>
      </c>
      <c r="AK58" s="53">
        <v>49.76</v>
      </c>
      <c r="AL58" s="53">
        <v>40.61</v>
      </c>
      <c r="AM58" s="53">
        <v>40.89</v>
      </c>
      <c r="AN58" s="53">
        <v>40.6</v>
      </c>
      <c r="AO58" s="53">
        <v>40.69</v>
      </c>
      <c r="AP58" s="53">
        <v>9371.6</v>
      </c>
      <c r="AQ58" s="53">
        <v>6.74</v>
      </c>
      <c r="AR58" s="53">
        <v>6.74</v>
      </c>
      <c r="AS58" s="53">
        <v>6.71</v>
      </c>
      <c r="AT58" s="53">
        <v>6.74</v>
      </c>
      <c r="AU58" s="53">
        <v>1787.35</v>
      </c>
      <c r="AV58" s="53">
        <v>2189.02</v>
      </c>
      <c r="AW58" s="53">
        <v>579.98</v>
      </c>
      <c r="AX58" s="53">
        <v>423.88</v>
      </c>
      <c r="AY58" s="53">
        <v>1753.59</v>
      </c>
      <c r="AZ58" s="53">
        <v>1401.08</v>
      </c>
      <c r="BA58" s="53">
        <v>2792.43</v>
      </c>
      <c r="BB58" s="53">
        <v>2736.52</v>
      </c>
      <c r="BC58" s="53">
        <v>2381.56</v>
      </c>
      <c r="BD58" s="53">
        <v>2933.03</v>
      </c>
      <c r="BE58" s="53">
        <v>2849.42</v>
      </c>
      <c r="BF58" s="53">
        <v>2962.56</v>
      </c>
      <c r="BG58" s="53">
        <v>2834.54</v>
      </c>
      <c r="BH58" s="53">
        <v>1743.94</v>
      </c>
      <c r="BI58" s="53">
        <v>2332.59</v>
      </c>
      <c r="BJ58" s="53">
        <v>2782.01</v>
      </c>
      <c r="BK58" s="53">
        <v>2770.45</v>
      </c>
      <c r="BL58" s="53">
        <v>1801.6</v>
      </c>
      <c r="BM58" s="53">
        <v>2864.67</v>
      </c>
      <c r="BN58" s="53">
        <v>2823.78</v>
      </c>
    </row>
    <row r="59" spans="1:66" x14ac:dyDescent="0.2">
      <c r="A59" s="58" t="s">
        <v>169</v>
      </c>
      <c r="B59" s="53">
        <v>273.47000000000003</v>
      </c>
      <c r="C59" s="53">
        <v>678836.56</v>
      </c>
      <c r="D59" s="53">
        <v>819435.69</v>
      </c>
      <c r="E59" s="53">
        <v>387218.94</v>
      </c>
      <c r="F59" s="53">
        <v>1552162.63</v>
      </c>
      <c r="G59" s="53">
        <v>1865045.75</v>
      </c>
      <c r="H59" s="53">
        <v>9645664.5899999999</v>
      </c>
      <c r="I59" s="53">
        <v>226871.67</v>
      </c>
      <c r="J59" s="53">
        <v>9340.6200000000008</v>
      </c>
      <c r="K59" s="53">
        <v>902710.69</v>
      </c>
      <c r="L59" s="53">
        <v>1650265.75</v>
      </c>
      <c r="M59" s="53">
        <v>1842170.5</v>
      </c>
      <c r="N59" s="53">
        <v>218.49</v>
      </c>
      <c r="O59" s="53">
        <v>30370.41</v>
      </c>
      <c r="P59" s="53">
        <v>53954.21</v>
      </c>
      <c r="Q59" s="53">
        <v>95157.38</v>
      </c>
      <c r="R59" s="53">
        <v>113813.09</v>
      </c>
      <c r="S59" s="53">
        <v>108988.98</v>
      </c>
      <c r="T59" s="53">
        <v>55634.19</v>
      </c>
      <c r="U59" s="53">
        <v>62746.239999999998</v>
      </c>
      <c r="V59" s="53">
        <v>40.08</v>
      </c>
      <c r="W59" s="53">
        <v>39.44</v>
      </c>
      <c r="X59" s="53">
        <v>158.5</v>
      </c>
      <c r="Y59" s="53">
        <v>163.21</v>
      </c>
      <c r="Z59" s="53">
        <v>86.92</v>
      </c>
      <c r="AA59" s="53">
        <v>91.94</v>
      </c>
      <c r="AB59" s="53">
        <v>359.03</v>
      </c>
      <c r="AC59" s="53">
        <v>-0.11</v>
      </c>
      <c r="AD59" s="53">
        <v>346.26</v>
      </c>
      <c r="AE59" s="53">
        <v>-0.88</v>
      </c>
      <c r="AF59" s="53">
        <v>64.14</v>
      </c>
      <c r="AG59" s="53">
        <v>-0.12</v>
      </c>
      <c r="AH59" s="53">
        <v>99.22</v>
      </c>
      <c r="AI59" s="53">
        <v>95.09</v>
      </c>
      <c r="AJ59" s="53">
        <v>102.22</v>
      </c>
      <c r="AK59" s="53">
        <v>49.78</v>
      </c>
      <c r="AL59" s="53">
        <v>40.909999999999997</v>
      </c>
      <c r="AM59" s="53">
        <v>40.92</v>
      </c>
      <c r="AN59" s="53">
        <v>40.39</v>
      </c>
      <c r="AO59" s="53">
        <v>40.18</v>
      </c>
      <c r="AP59" s="53">
        <v>9410.0300000000007</v>
      </c>
      <c r="AQ59" s="53">
        <v>6.74</v>
      </c>
      <c r="AR59" s="53">
        <v>6.74</v>
      </c>
      <c r="AS59" s="53">
        <v>6.71</v>
      </c>
      <c r="AT59" s="53">
        <v>6.74</v>
      </c>
      <c r="AU59" s="53">
        <v>1787.42</v>
      </c>
      <c r="AV59" s="53">
        <v>2189.02</v>
      </c>
      <c r="AW59" s="53">
        <v>580.05999999999995</v>
      </c>
      <c r="AX59" s="53">
        <v>423.88</v>
      </c>
      <c r="AY59" s="53">
        <v>1753.67</v>
      </c>
      <c r="AZ59" s="53">
        <v>1401.08</v>
      </c>
      <c r="BA59" s="53">
        <v>2792.51</v>
      </c>
      <c r="BB59" s="53">
        <v>2736.6</v>
      </c>
      <c r="BC59" s="53">
        <v>2381.64</v>
      </c>
      <c r="BD59" s="53">
        <v>2933.11</v>
      </c>
      <c r="BE59" s="53">
        <v>2849.5</v>
      </c>
      <c r="BF59" s="53">
        <v>2962.64</v>
      </c>
      <c r="BG59" s="53">
        <v>2834.62</v>
      </c>
      <c r="BH59" s="53">
        <v>1744.02</v>
      </c>
      <c r="BI59" s="53">
        <v>2332.67</v>
      </c>
      <c r="BJ59" s="53">
        <v>2782.09</v>
      </c>
      <c r="BK59" s="53">
        <v>2770.53</v>
      </c>
      <c r="BL59" s="53">
        <v>1801.68</v>
      </c>
      <c r="BM59" s="53">
        <v>2864.75</v>
      </c>
      <c r="BN59" s="53">
        <v>2823.86</v>
      </c>
    </row>
    <row r="60" spans="1:66" x14ac:dyDescent="0.2">
      <c r="A60" s="58" t="s">
        <v>170</v>
      </c>
      <c r="B60" s="53">
        <v>271.77999999999997</v>
      </c>
      <c r="C60" s="53">
        <v>678871.81</v>
      </c>
      <c r="D60" s="53">
        <v>819435.69</v>
      </c>
      <c r="E60" s="53">
        <v>387253.91</v>
      </c>
      <c r="F60" s="53">
        <v>1552220</v>
      </c>
      <c r="G60" s="53">
        <v>1865105.38</v>
      </c>
      <c r="H60" s="53">
        <v>9645731.5899999999</v>
      </c>
      <c r="I60" s="53">
        <v>226871.67</v>
      </c>
      <c r="J60" s="53">
        <v>9340.83</v>
      </c>
      <c r="K60" s="53">
        <v>902742.75</v>
      </c>
      <c r="L60" s="53">
        <v>1650321.5</v>
      </c>
      <c r="M60" s="53">
        <v>1842239.88</v>
      </c>
      <c r="N60" s="53">
        <v>218.49</v>
      </c>
      <c r="O60" s="53">
        <v>30370.41</v>
      </c>
      <c r="P60" s="53">
        <v>53957.440000000002</v>
      </c>
      <c r="Q60" s="53">
        <v>95160.72</v>
      </c>
      <c r="R60" s="53">
        <v>113816.46</v>
      </c>
      <c r="S60" s="53">
        <v>108992.19</v>
      </c>
      <c r="T60" s="53">
        <v>55636.94</v>
      </c>
      <c r="U60" s="53">
        <v>62746.92</v>
      </c>
      <c r="V60" s="53">
        <v>40.08</v>
      </c>
      <c r="W60" s="53">
        <v>39.44</v>
      </c>
      <c r="X60" s="53">
        <v>158.15</v>
      </c>
      <c r="Y60" s="53">
        <v>162.80000000000001</v>
      </c>
      <c r="Z60" s="53">
        <v>86.61</v>
      </c>
      <c r="AA60" s="53">
        <v>91.68</v>
      </c>
      <c r="AB60" s="53">
        <v>355.38</v>
      </c>
      <c r="AC60" s="53">
        <v>-0.11</v>
      </c>
      <c r="AD60" s="53">
        <v>343.58</v>
      </c>
      <c r="AE60" s="53">
        <v>-0.88</v>
      </c>
      <c r="AF60" s="53">
        <v>64.180000000000007</v>
      </c>
      <c r="AG60" s="53">
        <v>-0.12</v>
      </c>
      <c r="AH60" s="53">
        <v>99.16</v>
      </c>
      <c r="AI60" s="53">
        <v>95.08</v>
      </c>
      <c r="AJ60" s="53">
        <v>102.19</v>
      </c>
      <c r="AK60" s="53">
        <v>49.78</v>
      </c>
      <c r="AL60" s="53">
        <v>40.99</v>
      </c>
      <c r="AM60" s="53">
        <v>40.799999999999997</v>
      </c>
      <c r="AN60" s="53">
        <v>40.53</v>
      </c>
      <c r="AO60" s="53">
        <v>40.1</v>
      </c>
      <c r="AP60" s="53">
        <v>9407.01</v>
      </c>
      <c r="AQ60" s="53">
        <v>6.74</v>
      </c>
      <c r="AR60" s="53">
        <v>6.74</v>
      </c>
      <c r="AS60" s="53">
        <v>6.71</v>
      </c>
      <c r="AT60" s="53">
        <v>6.74</v>
      </c>
      <c r="AU60" s="53">
        <v>1787.52</v>
      </c>
      <c r="AV60" s="53">
        <v>2189.02</v>
      </c>
      <c r="AW60" s="53">
        <v>580.15</v>
      </c>
      <c r="AX60" s="53">
        <v>423.88</v>
      </c>
      <c r="AY60" s="53">
        <v>1753.76</v>
      </c>
      <c r="AZ60" s="53">
        <v>1401.08</v>
      </c>
      <c r="BA60" s="53">
        <v>2792.61</v>
      </c>
      <c r="BB60" s="53">
        <v>2736.69</v>
      </c>
      <c r="BC60" s="53">
        <v>2381.73</v>
      </c>
      <c r="BD60" s="53">
        <v>2933.2</v>
      </c>
      <c r="BE60" s="53">
        <v>2849.59</v>
      </c>
      <c r="BF60" s="53">
        <v>2962.74</v>
      </c>
      <c r="BG60" s="53">
        <v>2834.71</v>
      </c>
      <c r="BH60" s="53">
        <v>1744.12</v>
      </c>
      <c r="BI60" s="53">
        <v>2332.7600000000002</v>
      </c>
      <c r="BJ60" s="53">
        <v>2782.18</v>
      </c>
      <c r="BK60" s="53">
        <v>2770.62</v>
      </c>
      <c r="BL60" s="53">
        <v>1801.78</v>
      </c>
      <c r="BM60" s="53">
        <v>2864.84</v>
      </c>
      <c r="BN60" s="53">
        <v>2823.96</v>
      </c>
    </row>
    <row r="61" spans="1:66" x14ac:dyDescent="0.2">
      <c r="A61" s="58" t="s">
        <v>171</v>
      </c>
      <c r="B61" s="53">
        <v>267.11</v>
      </c>
      <c r="C61" s="53">
        <v>678906.63</v>
      </c>
      <c r="D61" s="53">
        <v>819435.69</v>
      </c>
      <c r="E61" s="53">
        <v>387288.53</v>
      </c>
      <c r="F61" s="53">
        <v>1552277</v>
      </c>
      <c r="G61" s="53">
        <v>1865164.88</v>
      </c>
      <c r="H61" s="53">
        <v>9645798.4499999993</v>
      </c>
      <c r="I61" s="53">
        <v>226871.67</v>
      </c>
      <c r="J61" s="53">
        <v>9341.1200000000008</v>
      </c>
      <c r="K61" s="53">
        <v>902774.81</v>
      </c>
      <c r="L61" s="53">
        <v>1650377.5</v>
      </c>
      <c r="M61" s="53">
        <v>1842308.63</v>
      </c>
      <c r="N61" s="53">
        <v>218.49</v>
      </c>
      <c r="O61" s="53">
        <v>30370.41</v>
      </c>
      <c r="P61" s="53">
        <v>53960.69</v>
      </c>
      <c r="Q61" s="53">
        <v>95164.07</v>
      </c>
      <c r="R61" s="53">
        <v>113819.93</v>
      </c>
      <c r="S61" s="53">
        <v>108995.39</v>
      </c>
      <c r="T61" s="53">
        <v>55639.76</v>
      </c>
      <c r="U61" s="53">
        <v>62747.46</v>
      </c>
      <c r="V61" s="53">
        <v>40.17</v>
      </c>
      <c r="W61" s="53">
        <v>39.51</v>
      </c>
      <c r="X61" s="53">
        <v>158.16</v>
      </c>
      <c r="Y61" s="53">
        <v>162.82</v>
      </c>
      <c r="Z61" s="53">
        <v>86.59</v>
      </c>
      <c r="AA61" s="53">
        <v>91.78</v>
      </c>
      <c r="AB61" s="53">
        <v>350.47</v>
      </c>
      <c r="AC61" s="53">
        <v>-0.11</v>
      </c>
      <c r="AD61" s="53">
        <v>338.75</v>
      </c>
      <c r="AE61" s="53">
        <v>-0.88</v>
      </c>
      <c r="AF61" s="53">
        <v>64.09</v>
      </c>
      <c r="AG61" s="53">
        <v>-0.12</v>
      </c>
      <c r="AH61" s="53">
        <v>99.3</v>
      </c>
      <c r="AI61" s="53">
        <v>95.42</v>
      </c>
      <c r="AJ61" s="53">
        <v>102.58</v>
      </c>
      <c r="AK61" s="53">
        <v>49.77</v>
      </c>
      <c r="AL61" s="53">
        <v>40.909999999999997</v>
      </c>
      <c r="AM61" s="53">
        <v>40.81</v>
      </c>
      <c r="AN61" s="53">
        <v>40.65</v>
      </c>
      <c r="AO61" s="53">
        <v>40.119999999999997</v>
      </c>
      <c r="AP61" s="53">
        <v>9333.2199999999993</v>
      </c>
      <c r="AQ61" s="53">
        <v>6.71</v>
      </c>
      <c r="AR61" s="53">
        <v>6.71</v>
      </c>
      <c r="AS61" s="53">
        <v>6.68</v>
      </c>
      <c r="AT61" s="53">
        <v>6.72</v>
      </c>
      <c r="AU61" s="53">
        <v>1787.61</v>
      </c>
      <c r="AV61" s="53">
        <v>2189.02</v>
      </c>
      <c r="AW61" s="53">
        <v>580.24</v>
      </c>
      <c r="AX61" s="53">
        <v>423.88</v>
      </c>
      <c r="AY61" s="53">
        <v>1753.85</v>
      </c>
      <c r="AZ61" s="53">
        <v>1401.08</v>
      </c>
      <c r="BA61" s="53">
        <v>2792.69</v>
      </c>
      <c r="BB61" s="53">
        <v>2736.78</v>
      </c>
      <c r="BC61" s="53">
        <v>2381.8200000000002</v>
      </c>
      <c r="BD61" s="53">
        <v>2933.29</v>
      </c>
      <c r="BE61" s="53">
        <v>2849.68</v>
      </c>
      <c r="BF61" s="53">
        <v>2962.83</v>
      </c>
      <c r="BG61" s="53">
        <v>2834.8</v>
      </c>
      <c r="BH61" s="53">
        <v>1744.2</v>
      </c>
      <c r="BI61" s="53">
        <v>2332.85</v>
      </c>
      <c r="BJ61" s="53">
        <v>2782.27</v>
      </c>
      <c r="BK61" s="53">
        <v>2770.71</v>
      </c>
      <c r="BL61" s="53">
        <v>1801.86</v>
      </c>
      <c r="BM61" s="53">
        <v>2864.93</v>
      </c>
      <c r="BN61" s="53">
        <v>2824.05</v>
      </c>
    </row>
    <row r="62" spans="1:66" x14ac:dyDescent="0.2">
      <c r="A62" s="58" t="s">
        <v>172</v>
      </c>
      <c r="B62" s="53">
        <v>272.94</v>
      </c>
      <c r="C62" s="53">
        <v>678940.75</v>
      </c>
      <c r="D62" s="53">
        <v>819435.69</v>
      </c>
      <c r="E62" s="53">
        <v>387322.16</v>
      </c>
      <c r="F62" s="53">
        <v>1552332.5</v>
      </c>
      <c r="G62" s="53">
        <v>1865222.88</v>
      </c>
      <c r="H62" s="53">
        <v>9645864.7300000004</v>
      </c>
      <c r="I62" s="53">
        <v>226871.67</v>
      </c>
      <c r="J62" s="53">
        <v>9341.33</v>
      </c>
      <c r="K62" s="53">
        <v>902806.88</v>
      </c>
      <c r="L62" s="53">
        <v>1650433.25</v>
      </c>
      <c r="M62" s="53">
        <v>1842375.88</v>
      </c>
      <c r="N62" s="53">
        <v>218.49</v>
      </c>
      <c r="O62" s="53">
        <v>30370.41</v>
      </c>
      <c r="P62" s="53">
        <v>53963.91</v>
      </c>
      <c r="Q62" s="53">
        <v>95167.41</v>
      </c>
      <c r="R62" s="53">
        <v>113823.3</v>
      </c>
      <c r="S62" s="53">
        <v>108998.62</v>
      </c>
      <c r="T62" s="53">
        <v>55642.58</v>
      </c>
      <c r="U62" s="53">
        <v>62748.27</v>
      </c>
      <c r="V62" s="53">
        <v>40.159999999999997</v>
      </c>
      <c r="W62" s="53">
        <v>39.51</v>
      </c>
      <c r="X62" s="53">
        <v>158.02000000000001</v>
      </c>
      <c r="Y62" s="53">
        <v>162.66999999999999</v>
      </c>
      <c r="Z62" s="53">
        <v>86.62</v>
      </c>
      <c r="AA62" s="53">
        <v>91.73</v>
      </c>
      <c r="AB62" s="53">
        <v>347.21</v>
      </c>
      <c r="AC62" s="53">
        <v>-0.11</v>
      </c>
      <c r="AD62" s="53">
        <v>335.18</v>
      </c>
      <c r="AE62" s="53">
        <v>-0.88</v>
      </c>
      <c r="AF62" s="53">
        <v>63.3</v>
      </c>
      <c r="AG62" s="53">
        <v>-0.12</v>
      </c>
      <c r="AH62" s="53">
        <v>99.27</v>
      </c>
      <c r="AI62" s="53">
        <v>95.46</v>
      </c>
      <c r="AJ62" s="53">
        <v>102.64</v>
      </c>
      <c r="AK62" s="53">
        <v>49.81</v>
      </c>
      <c r="AL62" s="53">
        <v>40.97</v>
      </c>
      <c r="AM62" s="53">
        <v>40.92</v>
      </c>
      <c r="AN62" s="53">
        <v>40.65</v>
      </c>
      <c r="AO62" s="53">
        <v>40.119999999999997</v>
      </c>
      <c r="AP62" s="53">
        <v>9306.7199999999993</v>
      </c>
      <c r="AQ62" s="53">
        <v>6.71</v>
      </c>
      <c r="AR62" s="53">
        <v>6.71</v>
      </c>
      <c r="AS62" s="53">
        <v>6.68</v>
      </c>
      <c r="AT62" s="53">
        <v>6.72</v>
      </c>
      <c r="AU62" s="53">
        <v>1787.69</v>
      </c>
      <c r="AV62" s="53">
        <v>2189.02</v>
      </c>
      <c r="AW62" s="53">
        <v>580.32000000000005</v>
      </c>
      <c r="AX62" s="53">
        <v>423.88</v>
      </c>
      <c r="AY62" s="53">
        <v>1753.93</v>
      </c>
      <c r="AZ62" s="53">
        <v>1401.08</v>
      </c>
      <c r="BA62" s="53">
        <v>2792.77</v>
      </c>
      <c r="BB62" s="53">
        <v>2736.86</v>
      </c>
      <c r="BC62" s="53">
        <v>2381.9</v>
      </c>
      <c r="BD62" s="53">
        <v>2933.37</v>
      </c>
      <c r="BE62" s="53">
        <v>2849.76</v>
      </c>
      <c r="BF62" s="53">
        <v>2962.91</v>
      </c>
      <c r="BG62" s="53">
        <v>2834.88</v>
      </c>
      <c r="BH62" s="53">
        <v>1744.29</v>
      </c>
      <c r="BI62" s="53">
        <v>2332.9299999999998</v>
      </c>
      <c r="BJ62" s="53">
        <v>2782.35</v>
      </c>
      <c r="BK62" s="53">
        <v>2770.79</v>
      </c>
      <c r="BL62" s="53">
        <v>1801.95</v>
      </c>
      <c r="BM62" s="53">
        <v>2865.02</v>
      </c>
      <c r="BN62" s="53">
        <v>2824.13</v>
      </c>
    </row>
    <row r="63" spans="1:66" x14ac:dyDescent="0.2">
      <c r="A63" s="58" t="s">
        <v>173</v>
      </c>
      <c r="B63" s="53">
        <v>269.32</v>
      </c>
      <c r="C63" s="53">
        <v>678975.94</v>
      </c>
      <c r="D63" s="53">
        <v>819435.69</v>
      </c>
      <c r="E63" s="53">
        <v>387357.19</v>
      </c>
      <c r="F63" s="53">
        <v>1552389.88</v>
      </c>
      <c r="G63" s="53">
        <v>1865282.63</v>
      </c>
      <c r="H63" s="53">
        <v>9645931.4900000002</v>
      </c>
      <c r="I63" s="53">
        <v>226871.67</v>
      </c>
      <c r="J63" s="53">
        <v>9341.5300000000007</v>
      </c>
      <c r="K63" s="53">
        <v>902838.63</v>
      </c>
      <c r="L63" s="53">
        <v>1650489.13</v>
      </c>
      <c r="M63" s="53">
        <v>1842445.13</v>
      </c>
      <c r="N63" s="53">
        <v>218.49</v>
      </c>
      <c r="O63" s="53">
        <v>30370.41</v>
      </c>
      <c r="P63" s="53">
        <v>53967.16</v>
      </c>
      <c r="Q63" s="53">
        <v>95170.76</v>
      </c>
      <c r="R63" s="53">
        <v>113826.66</v>
      </c>
      <c r="S63" s="53">
        <v>109001.82</v>
      </c>
      <c r="T63" s="53">
        <v>55645.21</v>
      </c>
      <c r="U63" s="53">
        <v>62748.38</v>
      </c>
      <c r="V63" s="53">
        <v>40.119999999999997</v>
      </c>
      <c r="W63" s="53">
        <v>39.5</v>
      </c>
      <c r="X63" s="53">
        <v>157.91</v>
      </c>
      <c r="Y63" s="53">
        <v>162.33000000000001</v>
      </c>
      <c r="Z63" s="53">
        <v>86.25</v>
      </c>
      <c r="AA63" s="53">
        <v>91.6</v>
      </c>
      <c r="AB63" s="53">
        <v>355.32</v>
      </c>
      <c r="AC63" s="53">
        <v>-0.11</v>
      </c>
      <c r="AD63" s="53">
        <v>343.47</v>
      </c>
      <c r="AE63" s="53">
        <v>-0.88</v>
      </c>
      <c r="AF63" s="53">
        <v>64.239999999999995</v>
      </c>
      <c r="AG63" s="53">
        <v>-0.12</v>
      </c>
      <c r="AH63" s="53">
        <v>99.25</v>
      </c>
      <c r="AI63" s="53">
        <v>95.39</v>
      </c>
      <c r="AJ63" s="53">
        <v>102.54</v>
      </c>
      <c r="AK63" s="53">
        <v>49.76</v>
      </c>
      <c r="AL63" s="53">
        <v>40.840000000000003</v>
      </c>
      <c r="AM63" s="53">
        <v>40.909999999999997</v>
      </c>
      <c r="AN63" s="53">
        <v>40.479999999999997</v>
      </c>
      <c r="AO63" s="53">
        <v>40.03</v>
      </c>
      <c r="AP63" s="53">
        <v>9416.8799999999992</v>
      </c>
      <c r="AQ63" s="53">
        <v>6.71</v>
      </c>
      <c r="AR63" s="53">
        <v>6.71</v>
      </c>
      <c r="AS63" s="53">
        <v>6.68</v>
      </c>
      <c r="AT63" s="53">
        <v>6.72</v>
      </c>
      <c r="AU63" s="53">
        <v>1787.77</v>
      </c>
      <c r="AV63" s="53">
        <v>2189.02</v>
      </c>
      <c r="AW63" s="53">
        <v>580.4</v>
      </c>
      <c r="AX63" s="53">
        <v>423.88</v>
      </c>
      <c r="AY63" s="53">
        <v>1754.01</v>
      </c>
      <c r="AZ63" s="53">
        <v>1401.08</v>
      </c>
      <c r="BA63" s="53">
        <v>2792.85</v>
      </c>
      <c r="BB63" s="53">
        <v>2736.94</v>
      </c>
      <c r="BC63" s="53">
        <v>2381.98</v>
      </c>
      <c r="BD63" s="53">
        <v>2933.45</v>
      </c>
      <c r="BE63" s="53">
        <v>2849.84</v>
      </c>
      <c r="BF63" s="53">
        <v>2962.99</v>
      </c>
      <c r="BG63" s="53">
        <v>2834.96</v>
      </c>
      <c r="BH63" s="53">
        <v>1744.36</v>
      </c>
      <c r="BI63" s="53">
        <v>2333.0100000000002</v>
      </c>
      <c r="BJ63" s="53">
        <v>2782.43</v>
      </c>
      <c r="BK63" s="53">
        <v>2770.87</v>
      </c>
      <c r="BL63" s="53">
        <v>1802.03</v>
      </c>
      <c r="BM63" s="53">
        <v>2865.1</v>
      </c>
      <c r="BN63" s="53">
        <v>2824.21</v>
      </c>
    </row>
    <row r="64" spans="1:66" x14ac:dyDescent="0.2">
      <c r="A64" s="58" t="s">
        <v>174</v>
      </c>
      <c r="B64" s="53">
        <v>270.20999999999998</v>
      </c>
      <c r="C64" s="53">
        <v>679010.38</v>
      </c>
      <c r="D64" s="53">
        <v>819435.69</v>
      </c>
      <c r="E64" s="53">
        <v>387391.34</v>
      </c>
      <c r="F64" s="53">
        <v>1552446.13</v>
      </c>
      <c r="G64" s="53">
        <v>1865341.38</v>
      </c>
      <c r="H64" s="53">
        <v>9645997.8399999999</v>
      </c>
      <c r="I64" s="53">
        <v>226871.67</v>
      </c>
      <c r="J64" s="53">
        <v>9341.75</v>
      </c>
      <c r="K64" s="53">
        <v>902870.13</v>
      </c>
      <c r="L64" s="53">
        <v>1650544.75</v>
      </c>
      <c r="M64" s="53">
        <v>1842513.13</v>
      </c>
      <c r="N64" s="53">
        <v>218.49</v>
      </c>
      <c r="O64" s="53">
        <v>30370.41</v>
      </c>
      <c r="P64" s="53">
        <v>53970.38</v>
      </c>
      <c r="Q64" s="53">
        <v>95174.27</v>
      </c>
      <c r="R64" s="53">
        <v>113830.13</v>
      </c>
      <c r="S64" s="53">
        <v>109005.03</v>
      </c>
      <c r="T64" s="53">
        <v>55647.88</v>
      </c>
      <c r="U64" s="53">
        <v>62748.93</v>
      </c>
      <c r="V64" s="53">
        <v>40.119999999999997</v>
      </c>
      <c r="W64" s="53">
        <v>39.5</v>
      </c>
      <c r="X64" s="53">
        <v>157.54</v>
      </c>
      <c r="Y64" s="53">
        <v>161.72999999999999</v>
      </c>
      <c r="Z64" s="53">
        <v>85.77</v>
      </c>
      <c r="AA64" s="53">
        <v>91.25</v>
      </c>
      <c r="AB64" s="53">
        <v>349.03</v>
      </c>
      <c r="AC64" s="53">
        <v>-0.11</v>
      </c>
      <c r="AD64" s="53">
        <v>337.27</v>
      </c>
      <c r="AE64" s="53">
        <v>-0.88</v>
      </c>
      <c r="AF64" s="53">
        <v>63.65</v>
      </c>
      <c r="AG64" s="53">
        <v>-0.12</v>
      </c>
      <c r="AH64" s="53">
        <v>99.18</v>
      </c>
      <c r="AI64" s="53">
        <v>95.28</v>
      </c>
      <c r="AJ64" s="53">
        <v>102.42</v>
      </c>
      <c r="AK64" s="53">
        <v>49.83</v>
      </c>
      <c r="AL64" s="53">
        <v>41.26</v>
      </c>
      <c r="AM64" s="53">
        <v>40.92</v>
      </c>
      <c r="AN64" s="53">
        <v>40.24</v>
      </c>
      <c r="AO64" s="53">
        <v>39.950000000000003</v>
      </c>
      <c r="AP64" s="53">
        <v>9300.1</v>
      </c>
      <c r="AQ64" s="53">
        <v>6.71</v>
      </c>
      <c r="AR64" s="53">
        <v>6.71</v>
      </c>
      <c r="AS64" s="53">
        <v>6.68</v>
      </c>
      <c r="AT64" s="53">
        <v>6.72</v>
      </c>
      <c r="AU64" s="53">
        <v>1787.85</v>
      </c>
      <c r="AV64" s="53">
        <v>2189.02</v>
      </c>
      <c r="AW64" s="53">
        <v>580.48</v>
      </c>
      <c r="AX64" s="53">
        <v>423.88</v>
      </c>
      <c r="AY64" s="53">
        <v>1754.09</v>
      </c>
      <c r="AZ64" s="53">
        <v>1401.08</v>
      </c>
      <c r="BA64" s="53">
        <v>2792.93</v>
      </c>
      <c r="BB64" s="53">
        <v>2737.02</v>
      </c>
      <c r="BC64" s="53">
        <v>2382.06</v>
      </c>
      <c r="BD64" s="53">
        <v>2933.53</v>
      </c>
      <c r="BE64" s="53">
        <v>2849.92</v>
      </c>
      <c r="BF64" s="53">
        <v>2963.07</v>
      </c>
      <c r="BG64" s="53">
        <v>2835.04</v>
      </c>
      <c r="BH64" s="53">
        <v>1744.44</v>
      </c>
      <c r="BI64" s="53">
        <v>2333.09</v>
      </c>
      <c r="BJ64" s="53">
        <v>2782.51</v>
      </c>
      <c r="BK64" s="53">
        <v>2770.95</v>
      </c>
      <c r="BL64" s="53">
        <v>1802.11</v>
      </c>
      <c r="BM64" s="53">
        <v>2865.18</v>
      </c>
      <c r="BN64" s="53">
        <v>2824.29</v>
      </c>
    </row>
    <row r="65" spans="1:66" x14ac:dyDescent="0.2">
      <c r="A65" s="58" t="s">
        <v>175</v>
      </c>
      <c r="B65" s="53">
        <v>273.36</v>
      </c>
      <c r="C65" s="53">
        <v>679045.19</v>
      </c>
      <c r="D65" s="53">
        <v>819435.69</v>
      </c>
      <c r="E65" s="53">
        <v>387425.94</v>
      </c>
      <c r="F65" s="53">
        <v>1552502.88</v>
      </c>
      <c r="G65" s="53">
        <v>1865400.38</v>
      </c>
      <c r="H65" s="53">
        <v>9646064.5</v>
      </c>
      <c r="I65" s="53">
        <v>226871.67</v>
      </c>
      <c r="J65" s="53">
        <v>9342.06</v>
      </c>
      <c r="K65" s="53">
        <v>902901.75</v>
      </c>
      <c r="L65" s="53">
        <v>1650600.63</v>
      </c>
      <c r="M65" s="53">
        <v>1842581.88</v>
      </c>
      <c r="N65" s="53">
        <v>218.49</v>
      </c>
      <c r="O65" s="53">
        <v>30370.41</v>
      </c>
      <c r="P65" s="53">
        <v>53973.63</v>
      </c>
      <c r="Q65" s="53">
        <v>95177.66</v>
      </c>
      <c r="R65" s="53">
        <v>113833.5</v>
      </c>
      <c r="S65" s="53">
        <v>109008.34</v>
      </c>
      <c r="T65" s="53">
        <v>55650.49</v>
      </c>
      <c r="U65" s="53">
        <v>62749.760000000002</v>
      </c>
      <c r="V65" s="53">
        <v>40.119999999999997</v>
      </c>
      <c r="W65" s="53">
        <v>39.5</v>
      </c>
      <c r="X65" s="53">
        <v>157.5</v>
      </c>
      <c r="Y65" s="53">
        <v>161.58000000000001</v>
      </c>
      <c r="Z65" s="53">
        <v>85.42</v>
      </c>
      <c r="AA65" s="53">
        <v>91.07</v>
      </c>
      <c r="AB65" s="53">
        <v>354.12</v>
      </c>
      <c r="AC65" s="53">
        <v>-0.11</v>
      </c>
      <c r="AD65" s="53">
        <v>342.22</v>
      </c>
      <c r="AE65" s="53">
        <v>-0.88</v>
      </c>
      <c r="AF65" s="53">
        <v>63.84</v>
      </c>
      <c r="AG65" s="53">
        <v>-0.12</v>
      </c>
      <c r="AH65" s="53">
        <v>99.21</v>
      </c>
      <c r="AI65" s="53">
        <v>95.25</v>
      </c>
      <c r="AJ65" s="53">
        <v>102.34</v>
      </c>
      <c r="AK65" s="53">
        <v>49.79</v>
      </c>
      <c r="AL65" s="53">
        <v>41.28</v>
      </c>
      <c r="AM65" s="53">
        <v>40.75</v>
      </c>
      <c r="AN65" s="53">
        <v>40.020000000000003</v>
      </c>
      <c r="AO65" s="53">
        <v>40.020000000000003</v>
      </c>
      <c r="AP65" s="53">
        <v>9393.15</v>
      </c>
      <c r="AQ65" s="53">
        <v>6.71</v>
      </c>
      <c r="AR65" s="53">
        <v>6.71</v>
      </c>
      <c r="AS65" s="53">
        <v>6.68</v>
      </c>
      <c r="AT65" s="53">
        <v>6.72</v>
      </c>
      <c r="AU65" s="53">
        <v>1787.93</v>
      </c>
      <c r="AV65" s="53">
        <v>2189.02</v>
      </c>
      <c r="AW65" s="53">
        <v>580.55999999999995</v>
      </c>
      <c r="AX65" s="53">
        <v>423.88</v>
      </c>
      <c r="AY65" s="53">
        <v>1754.17</v>
      </c>
      <c r="AZ65" s="53">
        <v>1401.08</v>
      </c>
      <c r="BA65" s="53">
        <v>2793.01</v>
      </c>
      <c r="BB65" s="53">
        <v>2737.1</v>
      </c>
      <c r="BC65" s="53">
        <v>2382.14</v>
      </c>
      <c r="BD65" s="53">
        <v>2933.61</v>
      </c>
      <c r="BE65" s="53">
        <v>2850</v>
      </c>
      <c r="BF65" s="53">
        <v>2963.15</v>
      </c>
      <c r="BG65" s="53">
        <v>2835.12</v>
      </c>
      <c r="BH65" s="53">
        <v>1744.52</v>
      </c>
      <c r="BI65" s="53">
        <v>2333.17</v>
      </c>
      <c r="BJ65" s="53">
        <v>2782.59</v>
      </c>
      <c r="BK65" s="53">
        <v>2771.03</v>
      </c>
      <c r="BL65" s="53">
        <v>1802.19</v>
      </c>
      <c r="BM65" s="53">
        <v>2865.26</v>
      </c>
      <c r="BN65" s="53">
        <v>2824.37</v>
      </c>
    </row>
    <row r="66" spans="1:66" x14ac:dyDescent="0.2">
      <c r="A66" s="58" t="s">
        <v>176</v>
      </c>
      <c r="B66" s="53">
        <v>273.45</v>
      </c>
      <c r="C66" s="53">
        <v>679082.38</v>
      </c>
      <c r="D66" s="53">
        <v>819435.69</v>
      </c>
      <c r="E66" s="53">
        <v>387462.78</v>
      </c>
      <c r="F66" s="53">
        <v>1552560.13</v>
      </c>
      <c r="G66" s="53">
        <v>1865460</v>
      </c>
      <c r="H66" s="53">
        <v>9646131.8100000005</v>
      </c>
      <c r="I66" s="53">
        <v>226871.67</v>
      </c>
      <c r="J66" s="53">
        <v>9342.27</v>
      </c>
      <c r="K66" s="53">
        <v>902933.31</v>
      </c>
      <c r="L66" s="53">
        <v>1650656.5</v>
      </c>
      <c r="M66" s="53">
        <v>1842651.13</v>
      </c>
      <c r="N66" s="53">
        <v>218.49</v>
      </c>
      <c r="O66" s="53">
        <v>30370.41</v>
      </c>
      <c r="P66" s="53">
        <v>53976.87</v>
      </c>
      <c r="Q66" s="53">
        <v>95181.07</v>
      </c>
      <c r="R66" s="53">
        <v>113836.87</v>
      </c>
      <c r="S66" s="53">
        <v>109011.55</v>
      </c>
      <c r="T66" s="53">
        <v>55653.07</v>
      </c>
      <c r="U66" s="53">
        <v>62750.43</v>
      </c>
      <c r="V66" s="53">
        <v>40.119999999999997</v>
      </c>
      <c r="W66" s="53">
        <v>39.520000000000003</v>
      </c>
      <c r="X66" s="53">
        <v>157.46</v>
      </c>
      <c r="Y66" s="53">
        <v>161.53</v>
      </c>
      <c r="Z66" s="53">
        <v>85.38</v>
      </c>
      <c r="AA66" s="53">
        <v>90.94</v>
      </c>
      <c r="AB66" s="53">
        <v>372.15</v>
      </c>
      <c r="AC66" s="53">
        <v>-0.11</v>
      </c>
      <c r="AD66" s="53">
        <v>357.85</v>
      </c>
      <c r="AE66" s="53">
        <v>-0.88</v>
      </c>
      <c r="AF66" s="53">
        <v>64.17</v>
      </c>
      <c r="AG66" s="53">
        <v>-0.12</v>
      </c>
      <c r="AH66" s="53">
        <v>99.28</v>
      </c>
      <c r="AI66" s="53">
        <v>95.2</v>
      </c>
      <c r="AJ66" s="53">
        <v>102.29</v>
      </c>
      <c r="AK66" s="53">
        <v>49.94</v>
      </c>
      <c r="AL66" s="53">
        <v>41.19</v>
      </c>
      <c r="AM66" s="53">
        <v>40.840000000000003</v>
      </c>
      <c r="AN66" s="53">
        <v>40.11</v>
      </c>
      <c r="AO66" s="53">
        <v>39.86</v>
      </c>
      <c r="AP66" s="53">
        <v>9437.4500000000007</v>
      </c>
      <c r="AQ66" s="53">
        <v>6.71</v>
      </c>
      <c r="AR66" s="53">
        <v>6.71</v>
      </c>
      <c r="AS66" s="53">
        <v>6.68</v>
      </c>
      <c r="AT66" s="53">
        <v>6.72</v>
      </c>
      <c r="AU66" s="53">
        <v>1788.01</v>
      </c>
      <c r="AV66" s="53">
        <v>2189.02</v>
      </c>
      <c r="AW66" s="53">
        <v>580.64</v>
      </c>
      <c r="AX66" s="53">
        <v>423.88</v>
      </c>
      <c r="AY66" s="53">
        <v>1754.25</v>
      </c>
      <c r="AZ66" s="53">
        <v>1401.08</v>
      </c>
      <c r="BA66" s="53">
        <v>2793.09</v>
      </c>
      <c r="BB66" s="53">
        <v>2737.18</v>
      </c>
      <c r="BC66" s="53">
        <v>2382.2199999999998</v>
      </c>
      <c r="BD66" s="53">
        <v>2933.69</v>
      </c>
      <c r="BE66" s="53">
        <v>2850.09</v>
      </c>
      <c r="BF66" s="53">
        <v>2963.23</v>
      </c>
      <c r="BG66" s="53">
        <v>2835.2</v>
      </c>
      <c r="BH66" s="53">
        <v>1744.61</v>
      </c>
      <c r="BI66" s="53">
        <v>2333.25</v>
      </c>
      <c r="BJ66" s="53">
        <v>2782.68</v>
      </c>
      <c r="BK66" s="53">
        <v>2771.11</v>
      </c>
      <c r="BL66" s="53">
        <v>1802.27</v>
      </c>
      <c r="BM66" s="53">
        <v>2865.33</v>
      </c>
      <c r="BN66" s="53">
        <v>2824.45</v>
      </c>
    </row>
    <row r="67" spans="1:66" x14ac:dyDescent="0.2">
      <c r="A67" s="58" t="s">
        <v>177</v>
      </c>
      <c r="B67" s="53">
        <v>270.18</v>
      </c>
      <c r="C67" s="53">
        <v>679119.5</v>
      </c>
      <c r="D67" s="53">
        <v>819435.69</v>
      </c>
      <c r="E67" s="53">
        <v>387499.59</v>
      </c>
      <c r="F67" s="53">
        <v>1552617.25</v>
      </c>
      <c r="G67" s="53">
        <v>1865519.75</v>
      </c>
      <c r="H67" s="53">
        <v>9646199.1799999997</v>
      </c>
      <c r="I67" s="53">
        <v>226871.67</v>
      </c>
      <c r="J67" s="53">
        <v>9342.49</v>
      </c>
      <c r="K67" s="53">
        <v>902964.81</v>
      </c>
      <c r="L67" s="53">
        <v>1650712.38</v>
      </c>
      <c r="M67" s="53">
        <v>1842720.25</v>
      </c>
      <c r="N67" s="53">
        <v>218.49</v>
      </c>
      <c r="O67" s="53">
        <v>30370.41</v>
      </c>
      <c r="P67" s="53">
        <v>53980.2</v>
      </c>
      <c r="Q67" s="53">
        <v>95184.58</v>
      </c>
      <c r="R67" s="53">
        <v>113840.34</v>
      </c>
      <c r="S67" s="53">
        <v>109014.76</v>
      </c>
      <c r="T67" s="53">
        <v>55655.59</v>
      </c>
      <c r="U67" s="53">
        <v>62750.96</v>
      </c>
      <c r="V67" s="53">
        <v>40.159999999999997</v>
      </c>
      <c r="W67" s="53">
        <v>39.56</v>
      </c>
      <c r="X67" s="53">
        <v>157.05000000000001</v>
      </c>
      <c r="Y67" s="53">
        <v>160.86000000000001</v>
      </c>
      <c r="Z67" s="53">
        <v>85.37</v>
      </c>
      <c r="AA67" s="53">
        <v>90.94</v>
      </c>
      <c r="AB67" s="53">
        <v>369.29</v>
      </c>
      <c r="AC67" s="53">
        <v>-0.11</v>
      </c>
      <c r="AD67" s="53">
        <v>354.92</v>
      </c>
      <c r="AE67" s="53">
        <v>-0.88</v>
      </c>
      <c r="AF67" s="53">
        <v>64.09</v>
      </c>
      <c r="AG67" s="53">
        <v>-0.12</v>
      </c>
      <c r="AH67" s="53">
        <v>99.07</v>
      </c>
      <c r="AI67" s="53">
        <v>95.14</v>
      </c>
      <c r="AJ67" s="53">
        <v>102.18</v>
      </c>
      <c r="AK67" s="53">
        <v>50.03</v>
      </c>
      <c r="AL67" s="53">
        <v>41.32</v>
      </c>
      <c r="AM67" s="53">
        <v>40.89</v>
      </c>
      <c r="AN67" s="53">
        <v>40.29</v>
      </c>
      <c r="AO67" s="53">
        <v>39.76</v>
      </c>
      <c r="AP67" s="53">
        <v>9374.69</v>
      </c>
      <c r="AQ67" s="53">
        <v>6.71</v>
      </c>
      <c r="AR67" s="53">
        <v>6.71</v>
      </c>
      <c r="AS67" s="53">
        <v>6.68</v>
      </c>
      <c r="AT67" s="53">
        <v>6.72</v>
      </c>
      <c r="AU67" s="53">
        <v>1788.11</v>
      </c>
      <c r="AV67" s="53">
        <v>2189.02</v>
      </c>
      <c r="AW67" s="53">
        <v>580.74</v>
      </c>
      <c r="AX67" s="53">
        <v>423.88</v>
      </c>
      <c r="AY67" s="53">
        <v>1754.35</v>
      </c>
      <c r="AZ67" s="53">
        <v>1401.08</v>
      </c>
      <c r="BA67" s="53">
        <v>2793.19</v>
      </c>
      <c r="BB67" s="53">
        <v>2737.28</v>
      </c>
      <c r="BC67" s="53">
        <v>2382.3200000000002</v>
      </c>
      <c r="BD67" s="53">
        <v>2933.79</v>
      </c>
      <c r="BE67" s="53">
        <v>2850.18</v>
      </c>
      <c r="BF67" s="53">
        <v>2963.33</v>
      </c>
      <c r="BG67" s="53">
        <v>2835.3</v>
      </c>
      <c r="BH67" s="53">
        <v>1744.7</v>
      </c>
      <c r="BI67" s="53">
        <v>2333.35</v>
      </c>
      <c r="BJ67" s="53">
        <v>2782.77</v>
      </c>
      <c r="BK67" s="53">
        <v>2771.21</v>
      </c>
      <c r="BL67" s="53">
        <v>1802.37</v>
      </c>
      <c r="BM67" s="53">
        <v>2865.44</v>
      </c>
      <c r="BN67" s="53">
        <v>2824.55</v>
      </c>
    </row>
    <row r="68" spans="1:66" x14ac:dyDescent="0.2">
      <c r="A68" s="58" t="s">
        <v>178</v>
      </c>
      <c r="B68" s="53">
        <v>271.36</v>
      </c>
      <c r="C68" s="53">
        <v>679155.94</v>
      </c>
      <c r="D68" s="53">
        <v>819435.69</v>
      </c>
      <c r="E68" s="53">
        <v>387535.78</v>
      </c>
      <c r="F68" s="53">
        <v>1552673.38</v>
      </c>
      <c r="G68" s="53">
        <v>1865578.25</v>
      </c>
      <c r="H68" s="53">
        <v>9646265.7899999991</v>
      </c>
      <c r="I68" s="53">
        <v>226871.67</v>
      </c>
      <c r="J68" s="53">
        <v>9342.7000000000007</v>
      </c>
      <c r="K68" s="53">
        <v>902996.25</v>
      </c>
      <c r="L68" s="53">
        <v>1650768.25</v>
      </c>
      <c r="M68" s="53">
        <v>1842788</v>
      </c>
      <c r="N68" s="53">
        <v>218.49</v>
      </c>
      <c r="O68" s="53">
        <v>30370.41</v>
      </c>
      <c r="P68" s="53">
        <v>53983.45</v>
      </c>
      <c r="Q68" s="53">
        <v>95187.98</v>
      </c>
      <c r="R68" s="53">
        <v>113843.71</v>
      </c>
      <c r="S68" s="53">
        <v>109017.98</v>
      </c>
      <c r="T68" s="53">
        <v>55658.13</v>
      </c>
      <c r="U68" s="53">
        <v>62752.34</v>
      </c>
      <c r="V68" s="53">
        <v>40.200000000000003</v>
      </c>
      <c r="W68" s="53">
        <v>39.57</v>
      </c>
      <c r="X68" s="53">
        <v>156.96</v>
      </c>
      <c r="Y68" s="53">
        <v>161.22999999999999</v>
      </c>
      <c r="Z68" s="53">
        <v>85.52</v>
      </c>
      <c r="AA68" s="53">
        <v>90.96</v>
      </c>
      <c r="AB68" s="53">
        <v>361.65</v>
      </c>
      <c r="AC68" s="53">
        <v>-0.11</v>
      </c>
      <c r="AD68" s="53">
        <v>348.74</v>
      </c>
      <c r="AE68" s="53">
        <v>-0.88</v>
      </c>
      <c r="AF68" s="53">
        <v>63.62</v>
      </c>
      <c r="AG68" s="53">
        <v>-0.12</v>
      </c>
      <c r="AH68" s="53">
        <v>99.29</v>
      </c>
      <c r="AI68" s="53">
        <v>95.34</v>
      </c>
      <c r="AJ68" s="53">
        <v>102.37</v>
      </c>
      <c r="AK68" s="53">
        <v>50.05</v>
      </c>
      <c r="AL68" s="53">
        <v>41.26</v>
      </c>
      <c r="AM68" s="53">
        <v>40.85</v>
      </c>
      <c r="AN68" s="53">
        <v>39.99</v>
      </c>
      <c r="AO68" s="53">
        <v>39.770000000000003</v>
      </c>
      <c r="AP68" s="53">
        <v>9265.2800000000007</v>
      </c>
      <c r="AQ68" s="53">
        <v>6.71</v>
      </c>
      <c r="AR68" s="53">
        <v>6.71</v>
      </c>
      <c r="AS68" s="53">
        <v>6.68</v>
      </c>
      <c r="AT68" s="53">
        <v>6.72</v>
      </c>
      <c r="AU68" s="53">
        <v>1788.19</v>
      </c>
      <c r="AV68" s="53">
        <v>2189.02</v>
      </c>
      <c r="AW68" s="53">
        <v>580.82000000000005</v>
      </c>
      <c r="AX68" s="53">
        <v>423.88</v>
      </c>
      <c r="AY68" s="53">
        <v>1754.43</v>
      </c>
      <c r="AZ68" s="53">
        <v>1401.08</v>
      </c>
      <c r="BA68" s="53">
        <v>2793.27</v>
      </c>
      <c r="BB68" s="53">
        <v>2737.36</v>
      </c>
      <c r="BC68" s="53">
        <v>2382.4</v>
      </c>
      <c r="BD68" s="53">
        <v>2933.87</v>
      </c>
      <c r="BE68" s="53">
        <v>2850.26</v>
      </c>
      <c r="BF68" s="53">
        <v>2963.4</v>
      </c>
      <c r="BG68" s="53">
        <v>2835.38</v>
      </c>
      <c r="BH68" s="53">
        <v>1744.78</v>
      </c>
      <c r="BI68" s="53">
        <v>2333.4299999999998</v>
      </c>
      <c r="BJ68" s="53">
        <v>2782.85</v>
      </c>
      <c r="BK68" s="53">
        <v>2771.29</v>
      </c>
      <c r="BL68" s="53">
        <v>1802.45</v>
      </c>
      <c r="BM68" s="53">
        <v>2865.51</v>
      </c>
      <c r="BN68" s="53">
        <v>2824.63</v>
      </c>
    </row>
    <row r="69" spans="1:66" x14ac:dyDescent="0.2">
      <c r="A69" s="58" t="s">
        <v>179</v>
      </c>
      <c r="B69" s="53">
        <v>272.68</v>
      </c>
      <c r="C69" s="53">
        <v>679192.56</v>
      </c>
      <c r="D69" s="53">
        <v>819435.69</v>
      </c>
      <c r="E69" s="53">
        <v>387572.13</v>
      </c>
      <c r="F69" s="53">
        <v>1552729.63</v>
      </c>
      <c r="G69" s="53">
        <v>1865636.88</v>
      </c>
      <c r="H69" s="53">
        <v>9646332.3499999996</v>
      </c>
      <c r="I69" s="53">
        <v>226871.67</v>
      </c>
      <c r="J69" s="53">
        <v>9343.01</v>
      </c>
      <c r="K69" s="53">
        <v>903027.94</v>
      </c>
      <c r="L69" s="53">
        <v>1650824.13</v>
      </c>
      <c r="M69" s="53">
        <v>1842856.13</v>
      </c>
      <c r="N69" s="53">
        <v>218.49</v>
      </c>
      <c r="O69" s="53">
        <v>30370.41</v>
      </c>
      <c r="P69" s="53">
        <v>53986.7</v>
      </c>
      <c r="Q69" s="53">
        <v>95191.39</v>
      </c>
      <c r="R69" s="53">
        <v>113847.09</v>
      </c>
      <c r="S69" s="53">
        <v>109021.19</v>
      </c>
      <c r="T69" s="53">
        <v>55660.65</v>
      </c>
      <c r="U69" s="53">
        <v>62752.79</v>
      </c>
      <c r="V69" s="53">
        <v>40.19</v>
      </c>
      <c r="W69" s="53">
        <v>39.590000000000003</v>
      </c>
      <c r="X69" s="53">
        <v>157.25</v>
      </c>
      <c r="Y69" s="53">
        <v>161.35</v>
      </c>
      <c r="Z69" s="53">
        <v>85.64</v>
      </c>
      <c r="AA69" s="53">
        <v>91.07</v>
      </c>
      <c r="AB69" s="53">
        <v>365.61</v>
      </c>
      <c r="AC69" s="53">
        <v>-0.11</v>
      </c>
      <c r="AD69" s="53">
        <v>352.26</v>
      </c>
      <c r="AE69" s="53">
        <v>-0.88</v>
      </c>
      <c r="AF69" s="53">
        <v>63.68</v>
      </c>
      <c r="AG69" s="53">
        <v>-0.12</v>
      </c>
      <c r="AH69" s="53">
        <v>99.3</v>
      </c>
      <c r="AI69" s="53">
        <v>95.34</v>
      </c>
      <c r="AJ69" s="53">
        <v>102.41</v>
      </c>
      <c r="AK69" s="53">
        <v>49.92</v>
      </c>
      <c r="AL69" s="53">
        <v>41.23</v>
      </c>
      <c r="AM69" s="53">
        <v>40.71</v>
      </c>
      <c r="AN69" s="53">
        <v>39.909999999999997</v>
      </c>
      <c r="AO69" s="53">
        <v>39.799999999999997</v>
      </c>
      <c r="AP69" s="53">
        <v>9359.08</v>
      </c>
      <c r="AQ69" s="53">
        <v>6.71</v>
      </c>
      <c r="AR69" s="53">
        <v>6.71</v>
      </c>
      <c r="AS69" s="53">
        <v>6.68</v>
      </c>
      <c r="AT69" s="53">
        <v>6.72</v>
      </c>
      <c r="AU69" s="53">
        <v>1788.27</v>
      </c>
      <c r="AV69" s="53">
        <v>2189.02</v>
      </c>
      <c r="AW69" s="53">
        <v>580.9</v>
      </c>
      <c r="AX69" s="53">
        <v>423.88</v>
      </c>
      <c r="AY69" s="53">
        <v>1754.51</v>
      </c>
      <c r="AZ69" s="53">
        <v>1401.08</v>
      </c>
      <c r="BA69" s="53">
        <v>2793.35</v>
      </c>
      <c r="BB69" s="53">
        <v>2737.44</v>
      </c>
      <c r="BC69" s="53">
        <v>2382.48</v>
      </c>
      <c r="BD69" s="53">
        <v>2933.94</v>
      </c>
      <c r="BE69" s="53">
        <v>2850.34</v>
      </c>
      <c r="BF69" s="53">
        <v>2963.48</v>
      </c>
      <c r="BG69" s="53">
        <v>2835.46</v>
      </c>
      <c r="BH69" s="53">
        <v>1744.86</v>
      </c>
      <c r="BI69" s="53">
        <v>2333.5100000000002</v>
      </c>
      <c r="BJ69" s="53">
        <v>2782.93</v>
      </c>
      <c r="BK69" s="53">
        <v>2771.37</v>
      </c>
      <c r="BL69" s="53">
        <v>1802.53</v>
      </c>
      <c r="BM69" s="53">
        <v>2865.59</v>
      </c>
      <c r="BN69" s="53">
        <v>2824.71</v>
      </c>
    </row>
    <row r="70" spans="1:66" x14ac:dyDescent="0.2">
      <c r="A70" s="58" t="s">
        <v>180</v>
      </c>
      <c r="B70" s="53">
        <v>272.39</v>
      </c>
      <c r="C70" s="53">
        <v>679229.38</v>
      </c>
      <c r="D70" s="53">
        <v>819435.69</v>
      </c>
      <c r="E70" s="53">
        <v>387608.69</v>
      </c>
      <c r="F70" s="53">
        <v>1552786.25</v>
      </c>
      <c r="G70" s="53">
        <v>1865695.88</v>
      </c>
      <c r="H70" s="53">
        <v>9646399.4000000004</v>
      </c>
      <c r="I70" s="53">
        <v>226871.67</v>
      </c>
      <c r="J70" s="53">
        <v>9343.2099999999991</v>
      </c>
      <c r="K70" s="53">
        <v>903059.69</v>
      </c>
      <c r="L70" s="53">
        <v>1650880</v>
      </c>
      <c r="M70" s="53">
        <v>1842924.75</v>
      </c>
      <c r="N70" s="53">
        <v>218.49</v>
      </c>
      <c r="O70" s="53">
        <v>30370.41</v>
      </c>
      <c r="P70" s="53">
        <v>53989.93</v>
      </c>
      <c r="Q70" s="53">
        <v>95194.89</v>
      </c>
      <c r="R70" s="53">
        <v>113850.48</v>
      </c>
      <c r="S70" s="53">
        <v>109024.4</v>
      </c>
      <c r="T70" s="53">
        <v>55663.34</v>
      </c>
      <c r="U70" s="53">
        <v>62752.79</v>
      </c>
      <c r="V70" s="53">
        <v>40.119999999999997</v>
      </c>
      <c r="W70" s="53">
        <v>39.51</v>
      </c>
      <c r="X70" s="53">
        <v>157.29</v>
      </c>
      <c r="Y70" s="53">
        <v>160.81</v>
      </c>
      <c r="Z70" s="53">
        <v>85.85</v>
      </c>
      <c r="AA70" s="53">
        <v>90.94</v>
      </c>
      <c r="AB70" s="53">
        <v>368.09</v>
      </c>
      <c r="AC70" s="53">
        <v>-0.11</v>
      </c>
      <c r="AD70" s="53">
        <v>354.07</v>
      </c>
      <c r="AE70" s="53">
        <v>-0.88</v>
      </c>
      <c r="AF70" s="53">
        <v>63.73</v>
      </c>
      <c r="AG70" s="53">
        <v>-0.12</v>
      </c>
      <c r="AH70" s="53">
        <v>99.02</v>
      </c>
      <c r="AI70" s="53">
        <v>94.99</v>
      </c>
      <c r="AJ70" s="53">
        <v>101.99</v>
      </c>
      <c r="AK70" s="53">
        <v>50.13</v>
      </c>
      <c r="AL70" s="53">
        <v>41.21</v>
      </c>
      <c r="AM70" s="53">
        <v>40.64</v>
      </c>
      <c r="AN70" s="53">
        <v>40.03</v>
      </c>
      <c r="AO70" s="53">
        <v>39.700000000000003</v>
      </c>
      <c r="AP70" s="53">
        <v>9381.83</v>
      </c>
      <c r="AQ70" s="53">
        <v>6.71</v>
      </c>
      <c r="AR70" s="53">
        <v>6.71</v>
      </c>
      <c r="AS70" s="53">
        <v>6.68</v>
      </c>
      <c r="AT70" s="53">
        <v>6.72</v>
      </c>
      <c r="AU70" s="53">
        <v>1788.35</v>
      </c>
      <c r="AV70" s="53">
        <v>2189.02</v>
      </c>
      <c r="AW70" s="53">
        <v>580.98</v>
      </c>
      <c r="AX70" s="53">
        <v>423.88</v>
      </c>
      <c r="AY70" s="53">
        <v>1754.59</v>
      </c>
      <c r="AZ70" s="53">
        <v>1401.08</v>
      </c>
      <c r="BA70" s="53">
        <v>2793.43</v>
      </c>
      <c r="BB70" s="53">
        <v>2737.52</v>
      </c>
      <c r="BC70" s="53">
        <v>2382.56</v>
      </c>
      <c r="BD70" s="53">
        <v>2934.03</v>
      </c>
      <c r="BE70" s="53">
        <v>2850.42</v>
      </c>
      <c r="BF70" s="53">
        <v>2963.56</v>
      </c>
      <c r="BG70" s="53">
        <v>2835.54</v>
      </c>
      <c r="BH70" s="53">
        <v>1744.94</v>
      </c>
      <c r="BI70" s="53">
        <v>2333.59</v>
      </c>
      <c r="BJ70" s="53">
        <v>2783.01</v>
      </c>
      <c r="BK70" s="53">
        <v>2771.45</v>
      </c>
      <c r="BL70" s="53">
        <v>1802.61</v>
      </c>
      <c r="BM70" s="53">
        <v>2865.67</v>
      </c>
      <c r="BN70" s="53">
        <v>2824.79</v>
      </c>
    </row>
    <row r="71" spans="1:66" x14ac:dyDescent="0.2">
      <c r="A71" s="58" t="s">
        <v>181</v>
      </c>
      <c r="B71" s="53">
        <v>271.57</v>
      </c>
      <c r="C71" s="53">
        <v>679266.06</v>
      </c>
      <c r="D71" s="53">
        <v>819435.69</v>
      </c>
      <c r="E71" s="53">
        <v>387645.09</v>
      </c>
      <c r="F71" s="53">
        <v>1552842.75</v>
      </c>
      <c r="G71" s="53">
        <v>1865754.88</v>
      </c>
      <c r="H71" s="53">
        <v>9646466.3800000008</v>
      </c>
      <c r="I71" s="53">
        <v>226871.67</v>
      </c>
      <c r="J71" s="53">
        <v>9343.52</v>
      </c>
      <c r="K71" s="53">
        <v>903091.88</v>
      </c>
      <c r="L71" s="53">
        <v>1650935.75</v>
      </c>
      <c r="M71" s="53">
        <v>1842993</v>
      </c>
      <c r="N71" s="53">
        <v>218.49</v>
      </c>
      <c r="O71" s="53">
        <v>30370.41</v>
      </c>
      <c r="P71" s="53">
        <v>53993.18</v>
      </c>
      <c r="Q71" s="53">
        <v>95198.3</v>
      </c>
      <c r="R71" s="53">
        <v>113853.95</v>
      </c>
      <c r="S71" s="53">
        <v>109027.62</v>
      </c>
      <c r="T71" s="53">
        <v>55665.86</v>
      </c>
      <c r="U71" s="53">
        <v>62752.79</v>
      </c>
      <c r="V71" s="53">
        <v>40.17</v>
      </c>
      <c r="W71" s="53">
        <v>39.53</v>
      </c>
      <c r="X71" s="53">
        <v>157.19999999999999</v>
      </c>
      <c r="Y71" s="53">
        <v>161.08000000000001</v>
      </c>
      <c r="Z71" s="53">
        <v>86.54</v>
      </c>
      <c r="AA71" s="53">
        <v>91.51</v>
      </c>
      <c r="AB71" s="53">
        <v>365.33</v>
      </c>
      <c r="AC71" s="53">
        <v>-0.11</v>
      </c>
      <c r="AD71" s="53">
        <v>351.81</v>
      </c>
      <c r="AE71" s="53">
        <v>-0.88</v>
      </c>
      <c r="AF71" s="53">
        <v>63.67</v>
      </c>
      <c r="AG71" s="53">
        <v>-0.12</v>
      </c>
      <c r="AH71" s="53">
        <v>99.07</v>
      </c>
      <c r="AI71" s="53">
        <v>95.03</v>
      </c>
      <c r="AJ71" s="53">
        <v>102.02</v>
      </c>
      <c r="AK71" s="53">
        <v>50.2</v>
      </c>
      <c r="AL71" s="53">
        <v>41.3</v>
      </c>
      <c r="AM71" s="53">
        <v>40.58</v>
      </c>
      <c r="AN71" s="53">
        <v>40.53</v>
      </c>
      <c r="AO71" s="53">
        <v>39.69</v>
      </c>
      <c r="AP71" s="53">
        <v>9340.59</v>
      </c>
      <c r="AQ71" s="53">
        <v>6.71</v>
      </c>
      <c r="AR71" s="53">
        <v>6.71</v>
      </c>
      <c r="AS71" s="53">
        <v>6.68</v>
      </c>
      <c r="AT71" s="53">
        <v>6.72</v>
      </c>
      <c r="AU71" s="53">
        <v>1788.43</v>
      </c>
      <c r="AV71" s="53">
        <v>2189.02</v>
      </c>
      <c r="AW71" s="53">
        <v>581.05999999999995</v>
      </c>
      <c r="AX71" s="53">
        <v>423.88</v>
      </c>
      <c r="AY71" s="53">
        <v>1754.67</v>
      </c>
      <c r="AZ71" s="53">
        <v>1401.08</v>
      </c>
      <c r="BA71" s="53">
        <v>2793.51</v>
      </c>
      <c r="BB71" s="53">
        <v>2737.6</v>
      </c>
      <c r="BC71" s="53">
        <v>2382.64</v>
      </c>
      <c r="BD71" s="53">
        <v>2934.11</v>
      </c>
      <c r="BE71" s="53">
        <v>2850.5</v>
      </c>
      <c r="BF71" s="53">
        <v>2963.64</v>
      </c>
      <c r="BG71" s="53">
        <v>2835.62</v>
      </c>
      <c r="BH71" s="53">
        <v>1745.02</v>
      </c>
      <c r="BI71" s="53">
        <v>2333.67</v>
      </c>
      <c r="BJ71" s="53">
        <v>2783.09</v>
      </c>
      <c r="BK71" s="53">
        <v>2771.53</v>
      </c>
      <c r="BL71" s="53">
        <v>1802.69</v>
      </c>
      <c r="BM71" s="53">
        <v>2865.75</v>
      </c>
      <c r="BN71" s="53">
        <v>2824.87</v>
      </c>
    </row>
    <row r="72" spans="1:66" x14ac:dyDescent="0.2">
      <c r="A72" s="58" t="s">
        <v>182</v>
      </c>
      <c r="B72" s="53">
        <v>272.02</v>
      </c>
      <c r="C72" s="53">
        <v>679302.69</v>
      </c>
      <c r="D72" s="53">
        <v>819435.69</v>
      </c>
      <c r="E72" s="53">
        <v>387681.41</v>
      </c>
      <c r="F72" s="53">
        <v>1552899</v>
      </c>
      <c r="G72" s="53">
        <v>1865813.5</v>
      </c>
      <c r="H72" s="53">
        <v>9646533.1199999992</v>
      </c>
      <c r="I72" s="53">
        <v>226871.67</v>
      </c>
      <c r="J72" s="53">
        <v>9343.83</v>
      </c>
      <c r="K72" s="53">
        <v>903124.13</v>
      </c>
      <c r="L72" s="53">
        <v>1650991.63</v>
      </c>
      <c r="M72" s="53">
        <v>1843061</v>
      </c>
      <c r="N72" s="53">
        <v>218.49</v>
      </c>
      <c r="O72" s="53">
        <v>30370.41</v>
      </c>
      <c r="P72" s="53">
        <v>53996.42</v>
      </c>
      <c r="Q72" s="53">
        <v>95201.7</v>
      </c>
      <c r="R72" s="53">
        <v>113857.31</v>
      </c>
      <c r="S72" s="53">
        <v>109030.93</v>
      </c>
      <c r="T72" s="53">
        <v>55668.41</v>
      </c>
      <c r="U72" s="53">
        <v>62752.79</v>
      </c>
      <c r="V72" s="53">
        <v>40.21</v>
      </c>
      <c r="W72" s="53">
        <v>39.590000000000003</v>
      </c>
      <c r="X72" s="53">
        <v>157.13</v>
      </c>
      <c r="Y72" s="53">
        <v>161.62</v>
      </c>
      <c r="Z72" s="53">
        <v>86.37</v>
      </c>
      <c r="AA72" s="53">
        <v>91.57</v>
      </c>
      <c r="AB72" s="53">
        <v>364.95</v>
      </c>
      <c r="AC72" s="53">
        <v>-0.11</v>
      </c>
      <c r="AD72" s="53">
        <v>351.58</v>
      </c>
      <c r="AE72" s="53">
        <v>-0.88</v>
      </c>
      <c r="AF72" s="53">
        <v>63.61</v>
      </c>
      <c r="AG72" s="53">
        <v>-0.12</v>
      </c>
      <c r="AH72" s="53">
        <v>99.16</v>
      </c>
      <c r="AI72" s="53">
        <v>95.15</v>
      </c>
      <c r="AJ72" s="53">
        <v>102.13</v>
      </c>
      <c r="AK72" s="53">
        <v>50.21</v>
      </c>
      <c r="AL72" s="53">
        <v>41.39</v>
      </c>
      <c r="AM72" s="53">
        <v>40.58</v>
      </c>
      <c r="AN72" s="53">
        <v>40.61</v>
      </c>
      <c r="AO72" s="53">
        <v>39.700000000000003</v>
      </c>
      <c r="AP72" s="53">
        <v>9352.76</v>
      </c>
      <c r="AQ72" s="53">
        <v>6.71</v>
      </c>
      <c r="AR72" s="53">
        <v>6.71</v>
      </c>
      <c r="AS72" s="53">
        <v>6.68</v>
      </c>
      <c r="AT72" s="53">
        <v>6.72</v>
      </c>
      <c r="AU72" s="53">
        <v>1788.52</v>
      </c>
      <c r="AV72" s="53">
        <v>2189.02</v>
      </c>
      <c r="AW72" s="53">
        <v>581.15</v>
      </c>
      <c r="AX72" s="53">
        <v>423.88</v>
      </c>
      <c r="AY72" s="53">
        <v>1754.76</v>
      </c>
      <c r="AZ72" s="53">
        <v>1401.08</v>
      </c>
      <c r="BA72" s="53">
        <v>2793.6</v>
      </c>
      <c r="BB72" s="53">
        <v>2737.69</v>
      </c>
      <c r="BC72" s="53">
        <v>2382.73</v>
      </c>
      <c r="BD72" s="53">
        <v>2934.2</v>
      </c>
      <c r="BE72" s="53">
        <v>2850.59</v>
      </c>
      <c r="BF72" s="53">
        <v>2963.73</v>
      </c>
      <c r="BG72" s="53">
        <v>2835.71</v>
      </c>
      <c r="BH72" s="53">
        <v>1745.12</v>
      </c>
      <c r="BI72" s="53">
        <v>2333.7600000000002</v>
      </c>
      <c r="BJ72" s="53">
        <v>2783.18</v>
      </c>
      <c r="BK72" s="53">
        <v>2771.62</v>
      </c>
      <c r="BL72" s="53">
        <v>1802.77</v>
      </c>
      <c r="BM72" s="53">
        <v>2865.84</v>
      </c>
      <c r="BN72" s="53">
        <v>2824.95</v>
      </c>
    </row>
    <row r="73" spans="1:66" x14ac:dyDescent="0.2">
      <c r="A73" s="58" t="s">
        <v>183</v>
      </c>
      <c r="B73" s="53">
        <v>272.33</v>
      </c>
      <c r="C73" s="53">
        <v>679339.38</v>
      </c>
      <c r="D73" s="53">
        <v>819435.69</v>
      </c>
      <c r="E73" s="53">
        <v>387717.84</v>
      </c>
      <c r="F73" s="53">
        <v>1552955.38</v>
      </c>
      <c r="G73" s="53">
        <v>1865872.25</v>
      </c>
      <c r="H73" s="53">
        <v>9646600.0399999991</v>
      </c>
      <c r="I73" s="53">
        <v>226871.67</v>
      </c>
      <c r="J73" s="53">
        <v>9344.0400000000009</v>
      </c>
      <c r="K73" s="53">
        <v>903156.44</v>
      </c>
      <c r="L73" s="53">
        <v>1651047.5</v>
      </c>
      <c r="M73" s="53">
        <v>1843129.25</v>
      </c>
      <c r="N73" s="53">
        <v>218.49</v>
      </c>
      <c r="O73" s="53">
        <v>30370.41</v>
      </c>
      <c r="P73" s="53">
        <v>53999.67</v>
      </c>
      <c r="Q73" s="53">
        <v>95205.21</v>
      </c>
      <c r="R73" s="53">
        <v>113860.68</v>
      </c>
      <c r="S73" s="53">
        <v>109034.13</v>
      </c>
      <c r="T73" s="53">
        <v>55670.94</v>
      </c>
      <c r="U73" s="53">
        <v>62753.05</v>
      </c>
      <c r="V73" s="53">
        <v>40.159999999999997</v>
      </c>
      <c r="W73" s="53">
        <v>39.520000000000003</v>
      </c>
      <c r="X73" s="53">
        <v>157.86000000000001</v>
      </c>
      <c r="Y73" s="53">
        <v>161.51</v>
      </c>
      <c r="Z73" s="53">
        <v>86.13</v>
      </c>
      <c r="AA73" s="53">
        <v>91.22</v>
      </c>
      <c r="AB73" s="53">
        <v>366.21</v>
      </c>
      <c r="AC73" s="53">
        <v>-0.11</v>
      </c>
      <c r="AD73" s="53">
        <v>352.74</v>
      </c>
      <c r="AE73" s="53">
        <v>-0.88</v>
      </c>
      <c r="AF73" s="53">
        <v>63.49</v>
      </c>
      <c r="AG73" s="53">
        <v>-0.12</v>
      </c>
      <c r="AH73" s="53">
        <v>98.91</v>
      </c>
      <c r="AI73" s="53">
        <v>94.97</v>
      </c>
      <c r="AJ73" s="53">
        <v>101.94</v>
      </c>
      <c r="AK73" s="53">
        <v>50.2</v>
      </c>
      <c r="AL73" s="53">
        <v>41.3</v>
      </c>
      <c r="AM73" s="53">
        <v>40.58</v>
      </c>
      <c r="AN73" s="53">
        <v>40.83</v>
      </c>
      <c r="AO73" s="53">
        <v>39.78</v>
      </c>
      <c r="AP73" s="53">
        <v>9390.1200000000008</v>
      </c>
      <c r="AQ73" s="53">
        <v>6.71</v>
      </c>
      <c r="AR73" s="53">
        <v>6.71</v>
      </c>
      <c r="AS73" s="53">
        <v>6.68</v>
      </c>
      <c r="AT73" s="53">
        <v>6.72</v>
      </c>
      <c r="AU73" s="53">
        <v>1788.61</v>
      </c>
      <c r="AV73" s="53">
        <v>2189.02</v>
      </c>
      <c r="AW73" s="53">
        <v>581.24</v>
      </c>
      <c r="AX73" s="53">
        <v>423.88</v>
      </c>
      <c r="AY73" s="53">
        <v>1754.85</v>
      </c>
      <c r="AZ73" s="53">
        <v>1401.08</v>
      </c>
      <c r="BA73" s="53">
        <v>2793.69</v>
      </c>
      <c r="BB73" s="53">
        <v>2737.78</v>
      </c>
      <c r="BC73" s="53">
        <v>2382.8200000000002</v>
      </c>
      <c r="BD73" s="53">
        <v>2934.29</v>
      </c>
      <c r="BE73" s="53">
        <v>2850.68</v>
      </c>
      <c r="BF73" s="53">
        <v>2963.83</v>
      </c>
      <c r="BG73" s="53">
        <v>2835.8</v>
      </c>
      <c r="BH73" s="53">
        <v>1745.2</v>
      </c>
      <c r="BI73" s="53">
        <v>2333.85</v>
      </c>
      <c r="BJ73" s="53">
        <v>2783.27</v>
      </c>
      <c r="BK73" s="53">
        <v>2771.71</v>
      </c>
      <c r="BL73" s="53">
        <v>1802.87</v>
      </c>
      <c r="BM73" s="53">
        <v>2865.93</v>
      </c>
      <c r="BN73" s="53">
        <v>2825.05</v>
      </c>
    </row>
    <row r="74" spans="1:66" x14ac:dyDescent="0.2">
      <c r="A74" s="58" t="s">
        <v>184</v>
      </c>
      <c r="B74" s="53">
        <v>271.73</v>
      </c>
      <c r="C74" s="53">
        <v>679376</v>
      </c>
      <c r="D74" s="53">
        <v>819435.69</v>
      </c>
      <c r="E74" s="53">
        <v>387754.19</v>
      </c>
      <c r="F74" s="53">
        <v>1553011.63</v>
      </c>
      <c r="G74" s="53">
        <v>1865931</v>
      </c>
      <c r="H74" s="53">
        <v>9646666.9299999997</v>
      </c>
      <c r="I74" s="53">
        <v>226871.67</v>
      </c>
      <c r="J74" s="53">
        <v>9344.35</v>
      </c>
      <c r="K74" s="53">
        <v>903188.56</v>
      </c>
      <c r="L74" s="53">
        <v>1651103.13</v>
      </c>
      <c r="M74" s="53">
        <v>1843197.38</v>
      </c>
      <c r="N74" s="53">
        <v>218.49</v>
      </c>
      <c r="O74" s="53">
        <v>30370.41</v>
      </c>
      <c r="P74" s="53">
        <v>54002.91</v>
      </c>
      <c r="Q74" s="53">
        <v>95208.62</v>
      </c>
      <c r="R74" s="53">
        <v>113864.15</v>
      </c>
      <c r="S74" s="53">
        <v>109037.35</v>
      </c>
      <c r="T74" s="53">
        <v>55673.46</v>
      </c>
      <c r="U74" s="53">
        <v>62753.26</v>
      </c>
      <c r="V74" s="53">
        <v>40.07</v>
      </c>
      <c r="W74" s="53">
        <v>39.479999999999997</v>
      </c>
      <c r="X74" s="53">
        <v>157.46</v>
      </c>
      <c r="Y74" s="53">
        <v>161</v>
      </c>
      <c r="Z74" s="53">
        <v>86.11</v>
      </c>
      <c r="AA74" s="53">
        <v>91.08</v>
      </c>
      <c r="AB74" s="53">
        <v>364.73</v>
      </c>
      <c r="AC74" s="53">
        <v>-0.11</v>
      </c>
      <c r="AD74" s="53">
        <v>351.15</v>
      </c>
      <c r="AE74" s="53">
        <v>-0.88</v>
      </c>
      <c r="AF74" s="53">
        <v>63.28</v>
      </c>
      <c r="AG74" s="53">
        <v>-0.12</v>
      </c>
      <c r="AH74" s="53">
        <v>98.56</v>
      </c>
      <c r="AI74" s="53">
        <v>94.7</v>
      </c>
      <c r="AJ74" s="53">
        <v>101.6</v>
      </c>
      <c r="AK74" s="53">
        <v>50.07</v>
      </c>
      <c r="AL74" s="53">
        <v>41.4</v>
      </c>
      <c r="AM74" s="53">
        <v>40.6</v>
      </c>
      <c r="AN74" s="53">
        <v>40.9</v>
      </c>
      <c r="AO74" s="53">
        <v>39.729999999999997</v>
      </c>
      <c r="AP74" s="53">
        <v>9374.7900000000009</v>
      </c>
      <c r="AQ74" s="53">
        <v>6.71</v>
      </c>
      <c r="AR74" s="53">
        <v>6.71</v>
      </c>
      <c r="AS74" s="53">
        <v>6.68</v>
      </c>
      <c r="AT74" s="53">
        <v>6.72</v>
      </c>
      <c r="AU74" s="53">
        <v>1788.69</v>
      </c>
      <c r="AV74" s="53">
        <v>2189.02</v>
      </c>
      <c r="AW74" s="53">
        <v>581.32000000000005</v>
      </c>
      <c r="AX74" s="53">
        <v>423.88</v>
      </c>
      <c r="AY74" s="53">
        <v>1754.93</v>
      </c>
      <c r="AZ74" s="53">
        <v>1401.08</v>
      </c>
      <c r="BA74" s="53">
        <v>2793.77</v>
      </c>
      <c r="BB74" s="53">
        <v>2737.86</v>
      </c>
      <c r="BC74" s="53">
        <v>2382.9</v>
      </c>
      <c r="BD74" s="53">
        <v>2934.37</v>
      </c>
      <c r="BE74" s="53">
        <v>2850.76</v>
      </c>
      <c r="BF74" s="53">
        <v>2963.91</v>
      </c>
      <c r="BG74" s="53">
        <v>2835.88</v>
      </c>
      <c r="BH74" s="53">
        <v>1745.29</v>
      </c>
      <c r="BI74" s="53">
        <v>2333.9299999999998</v>
      </c>
      <c r="BJ74" s="53">
        <v>2783.35</v>
      </c>
      <c r="BK74" s="53">
        <v>2771.79</v>
      </c>
      <c r="BL74" s="53">
        <v>1802.95</v>
      </c>
      <c r="BM74" s="53">
        <v>2866.02</v>
      </c>
      <c r="BN74" s="53">
        <v>2825.13</v>
      </c>
    </row>
    <row r="75" spans="1:66" x14ac:dyDescent="0.2">
      <c r="A75" s="58" t="s">
        <v>185</v>
      </c>
      <c r="B75" s="53">
        <v>271.61</v>
      </c>
      <c r="C75" s="53">
        <v>679412.5</v>
      </c>
      <c r="D75" s="53">
        <v>819435.69</v>
      </c>
      <c r="E75" s="53">
        <v>387790.47</v>
      </c>
      <c r="F75" s="53">
        <v>1553068</v>
      </c>
      <c r="G75" s="53">
        <v>1865989.88</v>
      </c>
      <c r="H75" s="53">
        <v>9646733.6999999993</v>
      </c>
      <c r="I75" s="53">
        <v>226871.67</v>
      </c>
      <c r="J75" s="53">
        <v>9344.5499999999993</v>
      </c>
      <c r="K75" s="53">
        <v>903220.94</v>
      </c>
      <c r="L75" s="53">
        <v>1651159.13</v>
      </c>
      <c r="M75" s="53">
        <v>1843265.38</v>
      </c>
      <c r="N75" s="53">
        <v>218.49</v>
      </c>
      <c r="O75" s="53">
        <v>30370.41</v>
      </c>
      <c r="P75" s="53">
        <v>54006.16</v>
      </c>
      <c r="Q75" s="53">
        <v>95212.02</v>
      </c>
      <c r="R75" s="53">
        <v>113867.53</v>
      </c>
      <c r="S75" s="53">
        <v>109040.56</v>
      </c>
      <c r="T75" s="53">
        <v>55676.160000000003</v>
      </c>
      <c r="U75" s="53">
        <v>62753.36</v>
      </c>
      <c r="V75" s="53">
        <v>40.21</v>
      </c>
      <c r="W75" s="53">
        <v>39.61</v>
      </c>
      <c r="X75" s="53">
        <v>158.02000000000001</v>
      </c>
      <c r="Y75" s="53">
        <v>161.91</v>
      </c>
      <c r="Z75" s="53">
        <v>86.63</v>
      </c>
      <c r="AA75" s="53">
        <v>91.71</v>
      </c>
      <c r="AB75" s="53">
        <v>364.31</v>
      </c>
      <c r="AC75" s="53">
        <v>-0.11</v>
      </c>
      <c r="AD75" s="53">
        <v>351.01</v>
      </c>
      <c r="AE75" s="53">
        <v>-0.88</v>
      </c>
      <c r="AF75" s="53">
        <v>63.6</v>
      </c>
      <c r="AG75" s="53">
        <v>-0.12</v>
      </c>
      <c r="AH75" s="53">
        <v>99.07</v>
      </c>
      <c r="AI75" s="53">
        <v>95.13</v>
      </c>
      <c r="AJ75" s="53">
        <v>102.1</v>
      </c>
      <c r="AK75" s="53">
        <v>49.99</v>
      </c>
      <c r="AL75" s="53">
        <v>41.22</v>
      </c>
      <c r="AM75" s="53">
        <v>40.369999999999997</v>
      </c>
      <c r="AN75" s="53">
        <v>40.99</v>
      </c>
      <c r="AO75" s="53">
        <v>39.75</v>
      </c>
      <c r="AP75" s="53">
        <v>9350.1</v>
      </c>
      <c r="AQ75" s="53">
        <v>6.71</v>
      </c>
      <c r="AR75" s="53">
        <v>6.71</v>
      </c>
      <c r="AS75" s="53">
        <v>6.68</v>
      </c>
      <c r="AT75" s="53">
        <v>6.72</v>
      </c>
      <c r="AU75" s="53">
        <v>1788.77</v>
      </c>
      <c r="AV75" s="53">
        <v>2189.02</v>
      </c>
      <c r="AW75" s="53">
        <v>581.4</v>
      </c>
      <c r="AX75" s="53">
        <v>423.88</v>
      </c>
      <c r="AY75" s="53">
        <v>1755.01</v>
      </c>
      <c r="AZ75" s="53">
        <v>1401.08</v>
      </c>
      <c r="BA75" s="53">
        <v>2793.85</v>
      </c>
      <c r="BB75" s="53">
        <v>2737.94</v>
      </c>
      <c r="BC75" s="53">
        <v>2382.98</v>
      </c>
      <c r="BD75" s="53">
        <v>2934.45</v>
      </c>
      <c r="BE75" s="53">
        <v>2850.84</v>
      </c>
      <c r="BF75" s="53">
        <v>2963.98</v>
      </c>
      <c r="BG75" s="53">
        <v>2835.96</v>
      </c>
      <c r="BH75" s="53">
        <v>1745.36</v>
      </c>
      <c r="BI75" s="53">
        <v>2334.0100000000002</v>
      </c>
      <c r="BJ75" s="53">
        <v>2783.43</v>
      </c>
      <c r="BK75" s="53">
        <v>2771.87</v>
      </c>
      <c r="BL75" s="53">
        <v>1803.03</v>
      </c>
      <c r="BM75" s="53">
        <v>2866.1</v>
      </c>
      <c r="BN75" s="53">
        <v>2825.21</v>
      </c>
    </row>
    <row r="76" spans="1:66" x14ac:dyDescent="0.2">
      <c r="A76" s="58" t="s">
        <v>186</v>
      </c>
      <c r="B76" s="53">
        <v>271.5</v>
      </c>
      <c r="C76" s="53">
        <v>679449.13</v>
      </c>
      <c r="D76" s="53">
        <v>819435.69</v>
      </c>
      <c r="E76" s="53">
        <v>387826.72</v>
      </c>
      <c r="F76" s="53">
        <v>1553124.25</v>
      </c>
      <c r="G76" s="53">
        <v>1866048.38</v>
      </c>
      <c r="H76" s="53">
        <v>9646800.3499999996</v>
      </c>
      <c r="I76" s="53">
        <v>226871.67</v>
      </c>
      <c r="J76" s="53">
        <v>9344.86</v>
      </c>
      <c r="K76" s="53">
        <v>903253.25</v>
      </c>
      <c r="L76" s="53">
        <v>1651215.25</v>
      </c>
      <c r="M76" s="53">
        <v>1843333.38</v>
      </c>
      <c r="N76" s="53">
        <v>218.49</v>
      </c>
      <c r="O76" s="53">
        <v>30370.41</v>
      </c>
      <c r="P76" s="53">
        <v>54009.41</v>
      </c>
      <c r="Q76" s="53">
        <v>95215.52</v>
      </c>
      <c r="R76" s="53">
        <v>113870.9</v>
      </c>
      <c r="S76" s="53">
        <v>109043.77</v>
      </c>
      <c r="T76" s="53">
        <v>55678.69</v>
      </c>
      <c r="U76" s="53">
        <v>62753.67</v>
      </c>
      <c r="V76" s="53">
        <v>40.29</v>
      </c>
      <c r="W76" s="53">
        <v>39.700000000000003</v>
      </c>
      <c r="X76" s="53">
        <v>157.57</v>
      </c>
      <c r="Y76" s="53">
        <v>162.22</v>
      </c>
      <c r="Z76" s="53">
        <v>86.17</v>
      </c>
      <c r="AA76" s="53">
        <v>91.73</v>
      </c>
      <c r="AB76" s="53">
        <v>364.16</v>
      </c>
      <c r="AC76" s="53">
        <v>-0.11</v>
      </c>
      <c r="AD76" s="53">
        <v>351.02</v>
      </c>
      <c r="AE76" s="53">
        <v>-0.88</v>
      </c>
      <c r="AF76" s="53">
        <v>63.64</v>
      </c>
      <c r="AG76" s="53">
        <v>-0.12</v>
      </c>
      <c r="AH76" s="53">
        <v>99.3</v>
      </c>
      <c r="AI76" s="53">
        <v>95.32</v>
      </c>
      <c r="AJ76" s="53">
        <v>102.29</v>
      </c>
      <c r="AK76" s="53">
        <v>50.04</v>
      </c>
      <c r="AL76" s="53">
        <v>41.24</v>
      </c>
      <c r="AM76" s="53">
        <v>40.369999999999997</v>
      </c>
      <c r="AN76" s="53">
        <v>41.1</v>
      </c>
      <c r="AO76" s="53">
        <v>39.67</v>
      </c>
      <c r="AP76" s="53">
        <v>9352.09</v>
      </c>
      <c r="AQ76" s="53">
        <v>6.71</v>
      </c>
      <c r="AR76" s="53">
        <v>6.71</v>
      </c>
      <c r="AS76" s="53">
        <v>6.68</v>
      </c>
      <c r="AT76" s="53">
        <v>6.72</v>
      </c>
      <c r="AU76" s="53">
        <v>1788.85</v>
      </c>
      <c r="AV76" s="53">
        <v>2189.02</v>
      </c>
      <c r="AW76" s="53">
        <v>581.48</v>
      </c>
      <c r="AX76" s="53">
        <v>423.88</v>
      </c>
      <c r="AY76" s="53">
        <v>1755.09</v>
      </c>
      <c r="AZ76" s="53">
        <v>1401.08</v>
      </c>
      <c r="BA76" s="53">
        <v>2793.93</v>
      </c>
      <c r="BB76" s="53">
        <v>2738.02</v>
      </c>
      <c r="BC76" s="53">
        <v>2383.06</v>
      </c>
      <c r="BD76" s="53">
        <v>2934.53</v>
      </c>
      <c r="BE76" s="53">
        <v>2850.92</v>
      </c>
      <c r="BF76" s="53">
        <v>2964.07</v>
      </c>
      <c r="BG76" s="53">
        <v>2836.04</v>
      </c>
      <c r="BH76" s="53">
        <v>1745.44</v>
      </c>
      <c r="BI76" s="53">
        <v>2334.09</v>
      </c>
      <c r="BJ76" s="53">
        <v>2783.51</v>
      </c>
      <c r="BK76" s="53">
        <v>2771.95</v>
      </c>
      <c r="BL76" s="53">
        <v>1803.1</v>
      </c>
      <c r="BM76" s="53">
        <v>2866.17</v>
      </c>
      <c r="BN76" s="53">
        <v>2825.28</v>
      </c>
    </row>
    <row r="77" spans="1:66" x14ac:dyDescent="0.2">
      <c r="A77" s="58" t="s">
        <v>187</v>
      </c>
      <c r="B77" s="53">
        <v>271.10000000000002</v>
      </c>
      <c r="C77" s="53">
        <v>679485.69</v>
      </c>
      <c r="D77" s="53">
        <v>819435.69</v>
      </c>
      <c r="E77" s="53">
        <v>387863</v>
      </c>
      <c r="F77" s="53">
        <v>1553180.5</v>
      </c>
      <c r="G77" s="53">
        <v>1866107.13</v>
      </c>
      <c r="H77" s="53">
        <v>9646866.9600000009</v>
      </c>
      <c r="I77" s="53">
        <v>226871.67</v>
      </c>
      <c r="J77" s="53">
        <v>9345.07</v>
      </c>
      <c r="K77" s="53">
        <v>903285.63</v>
      </c>
      <c r="L77" s="53">
        <v>1651271.25</v>
      </c>
      <c r="M77" s="53">
        <v>1843401.25</v>
      </c>
      <c r="N77" s="53">
        <v>218.49</v>
      </c>
      <c r="O77" s="53">
        <v>30370.41</v>
      </c>
      <c r="P77" s="53">
        <v>54012.65</v>
      </c>
      <c r="Q77" s="53">
        <v>95218.93</v>
      </c>
      <c r="R77" s="53">
        <v>113874.27</v>
      </c>
      <c r="S77" s="53">
        <v>109046.98</v>
      </c>
      <c r="T77" s="53">
        <v>55681.19</v>
      </c>
      <c r="U77" s="53">
        <v>62753.67</v>
      </c>
      <c r="V77" s="53">
        <v>40.28</v>
      </c>
      <c r="W77" s="53">
        <v>39.69</v>
      </c>
      <c r="X77" s="53">
        <v>157.19</v>
      </c>
      <c r="Y77" s="53">
        <v>162.19</v>
      </c>
      <c r="Z77" s="53">
        <v>85.93</v>
      </c>
      <c r="AA77" s="53">
        <v>91.54</v>
      </c>
      <c r="AB77" s="53">
        <v>364.16</v>
      </c>
      <c r="AC77" s="53">
        <v>-0.11</v>
      </c>
      <c r="AD77" s="53">
        <v>350.8</v>
      </c>
      <c r="AE77" s="53">
        <v>-0.88</v>
      </c>
      <c r="AF77" s="53">
        <v>63.63</v>
      </c>
      <c r="AG77" s="53">
        <v>-0.12</v>
      </c>
      <c r="AH77" s="53">
        <v>99.17</v>
      </c>
      <c r="AI77" s="53">
        <v>95.21</v>
      </c>
      <c r="AJ77" s="53">
        <v>102.18</v>
      </c>
      <c r="AK77" s="53">
        <v>49.99</v>
      </c>
      <c r="AL77" s="53">
        <v>41.22</v>
      </c>
      <c r="AM77" s="53">
        <v>40.32</v>
      </c>
      <c r="AN77" s="53">
        <v>41.22</v>
      </c>
      <c r="AO77" s="53">
        <v>39.67</v>
      </c>
      <c r="AP77" s="53">
        <v>9347.7900000000009</v>
      </c>
      <c r="AQ77" s="53">
        <v>6.71</v>
      </c>
      <c r="AR77" s="53">
        <v>6.71</v>
      </c>
      <c r="AS77" s="53">
        <v>6.68</v>
      </c>
      <c r="AT77" s="53">
        <v>6.72</v>
      </c>
      <c r="AU77" s="53">
        <v>1788.93</v>
      </c>
      <c r="AV77" s="53">
        <v>2189.02</v>
      </c>
      <c r="AW77" s="53">
        <v>581.55999999999995</v>
      </c>
      <c r="AX77" s="53">
        <v>423.88</v>
      </c>
      <c r="AY77" s="53">
        <v>1755.17</v>
      </c>
      <c r="AZ77" s="53">
        <v>1401.08</v>
      </c>
      <c r="BA77" s="53">
        <v>2794.01</v>
      </c>
      <c r="BB77" s="53">
        <v>2738.1</v>
      </c>
      <c r="BC77" s="53">
        <v>2383.14</v>
      </c>
      <c r="BD77" s="53">
        <v>2934.61</v>
      </c>
      <c r="BE77" s="53">
        <v>2851</v>
      </c>
      <c r="BF77" s="53">
        <v>2964.15</v>
      </c>
      <c r="BG77" s="53">
        <v>2836.12</v>
      </c>
      <c r="BH77" s="53">
        <v>1745.52</v>
      </c>
      <c r="BI77" s="53">
        <v>2334.17</v>
      </c>
      <c r="BJ77" s="53">
        <v>2783.59</v>
      </c>
      <c r="BK77" s="53">
        <v>2772.03</v>
      </c>
      <c r="BL77" s="53">
        <v>1803.18</v>
      </c>
      <c r="BM77" s="53">
        <v>2866.25</v>
      </c>
      <c r="BN77" s="53">
        <v>2825.36</v>
      </c>
    </row>
    <row r="78" spans="1:66" x14ac:dyDescent="0.2">
      <c r="A78" s="58" t="s">
        <v>188</v>
      </c>
      <c r="B78" s="53">
        <v>270.97000000000003</v>
      </c>
      <c r="C78" s="53">
        <v>679522.06</v>
      </c>
      <c r="D78" s="53">
        <v>819435.69</v>
      </c>
      <c r="E78" s="53">
        <v>387899.13</v>
      </c>
      <c r="F78" s="53">
        <v>1553236.63</v>
      </c>
      <c r="G78" s="53">
        <v>1866165.75</v>
      </c>
      <c r="H78" s="53">
        <v>9646933.4399999995</v>
      </c>
      <c r="I78" s="53">
        <v>226871.67</v>
      </c>
      <c r="J78" s="53">
        <v>9345.2800000000007</v>
      </c>
      <c r="K78" s="53">
        <v>903317.88</v>
      </c>
      <c r="L78" s="53">
        <v>1651327.38</v>
      </c>
      <c r="M78" s="53">
        <v>1843469</v>
      </c>
      <c r="N78" s="53">
        <v>218.49</v>
      </c>
      <c r="O78" s="53">
        <v>30370.41</v>
      </c>
      <c r="P78" s="53">
        <v>54015.89</v>
      </c>
      <c r="Q78" s="53">
        <v>95222.34</v>
      </c>
      <c r="R78" s="53">
        <v>113877.73</v>
      </c>
      <c r="S78" s="53">
        <v>109050.3</v>
      </c>
      <c r="T78" s="53">
        <v>55683.72</v>
      </c>
      <c r="U78" s="53">
        <v>62753.67</v>
      </c>
      <c r="V78" s="53">
        <v>40.31</v>
      </c>
      <c r="W78" s="53">
        <v>39.72</v>
      </c>
      <c r="X78" s="53">
        <v>157.72999999999999</v>
      </c>
      <c r="Y78" s="53">
        <v>162.47</v>
      </c>
      <c r="Z78" s="53">
        <v>85.92</v>
      </c>
      <c r="AA78" s="53">
        <v>91.6</v>
      </c>
      <c r="AB78" s="53">
        <v>362.45</v>
      </c>
      <c r="AC78" s="53">
        <v>-0.11</v>
      </c>
      <c r="AD78" s="53">
        <v>349.52</v>
      </c>
      <c r="AE78" s="53">
        <v>-0.88</v>
      </c>
      <c r="AF78" s="53">
        <v>63.64</v>
      </c>
      <c r="AG78" s="53">
        <v>-0.12</v>
      </c>
      <c r="AH78" s="53">
        <v>99.26</v>
      </c>
      <c r="AI78" s="53">
        <v>95.32</v>
      </c>
      <c r="AJ78" s="53">
        <v>102.27</v>
      </c>
      <c r="AK78" s="53">
        <v>49.99</v>
      </c>
      <c r="AL78" s="53">
        <v>41.18</v>
      </c>
      <c r="AM78" s="53">
        <v>40.299999999999997</v>
      </c>
      <c r="AN78" s="53">
        <v>41.32</v>
      </c>
      <c r="AO78" s="53">
        <v>39.6</v>
      </c>
      <c r="AP78" s="53">
        <v>9332.01</v>
      </c>
      <c r="AQ78" s="53">
        <v>6.71</v>
      </c>
      <c r="AR78" s="53">
        <v>6.71</v>
      </c>
      <c r="AS78" s="53">
        <v>6.68</v>
      </c>
      <c r="AT78" s="53">
        <v>6.72</v>
      </c>
      <c r="AU78" s="53">
        <v>1789.01</v>
      </c>
      <c r="AV78" s="53">
        <v>2189.02</v>
      </c>
      <c r="AW78" s="53">
        <v>581.65</v>
      </c>
      <c r="AX78" s="53">
        <v>423.88</v>
      </c>
      <c r="AY78" s="53">
        <v>1755.26</v>
      </c>
      <c r="AZ78" s="53">
        <v>1401.08</v>
      </c>
      <c r="BA78" s="53">
        <v>2794.1</v>
      </c>
      <c r="BB78" s="53">
        <v>2738.18</v>
      </c>
      <c r="BC78" s="53">
        <v>2383.2199999999998</v>
      </c>
      <c r="BD78" s="53">
        <v>2934.69</v>
      </c>
      <c r="BE78" s="53">
        <v>2851.09</v>
      </c>
      <c r="BF78" s="53">
        <v>2964.23</v>
      </c>
      <c r="BG78" s="53">
        <v>2836.21</v>
      </c>
      <c r="BH78" s="53">
        <v>1745.61</v>
      </c>
      <c r="BI78" s="53">
        <v>2334.25</v>
      </c>
      <c r="BJ78" s="53">
        <v>2783.68</v>
      </c>
      <c r="BK78" s="53">
        <v>2772.11</v>
      </c>
      <c r="BL78" s="53">
        <v>1803.27</v>
      </c>
      <c r="BM78" s="53">
        <v>2866.34</v>
      </c>
      <c r="BN78" s="53">
        <v>2825.46</v>
      </c>
    </row>
    <row r="79" spans="1:66" x14ac:dyDescent="0.2">
      <c r="J79">
        <f>K79/2</f>
        <v>384.31500000000233</v>
      </c>
      <c r="K79">
        <f>K78-K54</f>
        <v>768.63000000000466</v>
      </c>
      <c r="L79" s="59">
        <f t="shared" ref="L79:T79" si="7">L78-L54</f>
        <v>1341.1299999998882</v>
      </c>
      <c r="M79" s="59">
        <f t="shared" si="7"/>
        <v>1644.6200000001118</v>
      </c>
      <c r="N79" s="59">
        <f t="shared" si="7"/>
        <v>0</v>
      </c>
      <c r="O79" s="59">
        <f t="shared" si="7"/>
        <v>0</v>
      </c>
      <c r="P79" s="59">
        <f t="shared" si="7"/>
        <v>77.879999999997381</v>
      </c>
      <c r="Q79" s="59">
        <f t="shared" si="7"/>
        <v>81.679999999993015</v>
      </c>
      <c r="R79" s="59">
        <f t="shared" si="7"/>
        <v>81.690000000002328</v>
      </c>
      <c r="S79" s="59">
        <f t="shared" si="7"/>
        <v>77.55000000000291</v>
      </c>
      <c r="T79" s="59">
        <f t="shared" si="7"/>
        <v>63.720000000001164</v>
      </c>
    </row>
    <row r="80" spans="1:66" x14ac:dyDescent="0.2">
      <c r="A80" s="64" t="s">
        <v>189</v>
      </c>
      <c r="B80" s="53">
        <v>270.69</v>
      </c>
      <c r="C80" s="53">
        <v>683992.75</v>
      </c>
      <c r="D80" s="53">
        <v>819435.69</v>
      </c>
      <c r="E80" s="53">
        <v>392335.88</v>
      </c>
      <c r="F80" s="53">
        <v>1560115</v>
      </c>
      <c r="G80" s="53">
        <v>1873346.5</v>
      </c>
      <c r="H80" s="53">
        <v>9655069.9100000001</v>
      </c>
      <c r="I80" s="53">
        <v>226871.67</v>
      </c>
      <c r="J80" s="53">
        <v>9374.6</v>
      </c>
      <c r="K80" s="53">
        <v>907385.06</v>
      </c>
      <c r="L80" s="53">
        <v>1658325.38</v>
      </c>
      <c r="M80" s="53">
        <v>1851777.63</v>
      </c>
      <c r="N80" s="53">
        <v>218.49</v>
      </c>
      <c r="O80" s="53">
        <v>30370.41</v>
      </c>
      <c r="P80" s="53">
        <v>54387.54</v>
      </c>
      <c r="Q80" s="53">
        <v>95647.58</v>
      </c>
      <c r="R80" s="53">
        <v>114299.01</v>
      </c>
      <c r="S80" s="53">
        <v>109457.2</v>
      </c>
      <c r="T80" s="53">
        <v>55991.75</v>
      </c>
      <c r="U80" s="53">
        <v>62777.24</v>
      </c>
      <c r="V80" s="53">
        <v>39.130000000000003</v>
      </c>
      <c r="W80" s="53">
        <v>39.86</v>
      </c>
      <c r="X80" s="53">
        <v>159</v>
      </c>
      <c r="Y80" s="53">
        <v>163.89</v>
      </c>
      <c r="Z80" s="53">
        <v>85.63</v>
      </c>
      <c r="AA80" s="53">
        <v>91.19</v>
      </c>
      <c r="AB80" s="53">
        <v>363.28</v>
      </c>
      <c r="AC80" s="53">
        <v>-0.11</v>
      </c>
      <c r="AD80" s="53">
        <v>350.08</v>
      </c>
      <c r="AE80" s="53">
        <v>-0.88</v>
      </c>
      <c r="AF80" s="53">
        <v>63.78</v>
      </c>
      <c r="AG80" s="53">
        <v>-0.12</v>
      </c>
      <c r="AH80" s="53">
        <v>99.45</v>
      </c>
      <c r="AI80" s="53">
        <v>96.15</v>
      </c>
      <c r="AJ80" s="53">
        <v>103.48</v>
      </c>
      <c r="AK80" s="53">
        <v>50.12</v>
      </c>
      <c r="AL80" s="53">
        <v>41.81</v>
      </c>
      <c r="AM80" s="53">
        <v>41.15</v>
      </c>
      <c r="AN80" s="53">
        <v>41.25</v>
      </c>
      <c r="AO80" s="53">
        <v>39.28</v>
      </c>
      <c r="AP80" s="53">
        <v>9334.11</v>
      </c>
      <c r="AQ80" s="53">
        <v>6.72</v>
      </c>
      <c r="AR80" s="53">
        <v>6.72</v>
      </c>
      <c r="AS80" s="53">
        <v>6.69</v>
      </c>
      <c r="AT80" s="53">
        <v>6.72</v>
      </c>
      <c r="AU80" s="53">
        <v>1799.27</v>
      </c>
      <c r="AV80" s="53">
        <v>2189.02</v>
      </c>
      <c r="AW80" s="53">
        <v>591.9</v>
      </c>
      <c r="AX80" s="53">
        <v>423.88</v>
      </c>
      <c r="AY80" s="53">
        <v>1765.51</v>
      </c>
      <c r="AZ80" s="53">
        <v>1401.08</v>
      </c>
      <c r="BA80" s="53">
        <v>2804.35</v>
      </c>
      <c r="BB80" s="53">
        <v>2748.44</v>
      </c>
      <c r="BC80" s="53">
        <v>2393.48</v>
      </c>
      <c r="BD80" s="53">
        <v>2944.95</v>
      </c>
      <c r="BE80" s="53">
        <v>2861.34</v>
      </c>
      <c r="BF80" s="53">
        <v>2974.48</v>
      </c>
      <c r="BG80" s="53">
        <v>2846.46</v>
      </c>
      <c r="BH80" s="53">
        <v>1755.86</v>
      </c>
      <c r="BI80" s="53">
        <v>2344.5100000000002</v>
      </c>
      <c r="BJ80" s="53">
        <v>2793.93</v>
      </c>
      <c r="BK80" s="53">
        <v>2782.37</v>
      </c>
      <c r="BL80" s="53">
        <v>1813.53</v>
      </c>
      <c r="BM80" s="53">
        <v>2876.59</v>
      </c>
      <c r="BN80" s="53">
        <v>2835.71</v>
      </c>
    </row>
    <row r="81" spans="1:66" x14ac:dyDescent="0.2">
      <c r="A81" s="64" t="s">
        <v>190</v>
      </c>
      <c r="B81" s="53">
        <v>273.11</v>
      </c>
      <c r="C81" s="53">
        <v>684029.13</v>
      </c>
      <c r="D81" s="53">
        <v>819435.69</v>
      </c>
      <c r="E81" s="53">
        <v>392372</v>
      </c>
      <c r="F81" s="53">
        <v>1560170.88</v>
      </c>
      <c r="G81" s="53">
        <v>1873404.75</v>
      </c>
      <c r="H81" s="53">
        <v>9655135.9700000007</v>
      </c>
      <c r="I81" s="53">
        <v>226871.67</v>
      </c>
      <c r="J81" s="53">
        <v>9374.82</v>
      </c>
      <c r="K81" s="53">
        <v>907418</v>
      </c>
      <c r="L81" s="53">
        <v>1658381.88</v>
      </c>
      <c r="M81" s="53">
        <v>1851845.25</v>
      </c>
      <c r="N81" s="53">
        <v>218.49</v>
      </c>
      <c r="O81" s="53">
        <v>30370.41</v>
      </c>
      <c r="P81" s="53">
        <v>54390.53</v>
      </c>
      <c r="Q81" s="53">
        <v>95651.13</v>
      </c>
      <c r="R81" s="53">
        <v>114302.53</v>
      </c>
      <c r="S81" s="53">
        <v>109460.69</v>
      </c>
      <c r="T81" s="53">
        <v>55994.239999999998</v>
      </c>
      <c r="U81" s="53">
        <v>62777.24</v>
      </c>
      <c r="V81" s="53">
        <v>39.11</v>
      </c>
      <c r="W81" s="53">
        <v>39.869999999999997</v>
      </c>
      <c r="X81" s="53">
        <v>158.96</v>
      </c>
      <c r="Y81" s="53">
        <v>163.81</v>
      </c>
      <c r="Z81" s="53">
        <v>85.62</v>
      </c>
      <c r="AA81" s="53">
        <v>91.26</v>
      </c>
      <c r="AB81" s="53">
        <v>361.51</v>
      </c>
      <c r="AC81" s="53">
        <v>-0.11</v>
      </c>
      <c r="AD81" s="53">
        <v>348.66</v>
      </c>
      <c r="AE81" s="53">
        <v>-0.88</v>
      </c>
      <c r="AF81" s="53">
        <v>63.44</v>
      </c>
      <c r="AG81" s="53">
        <v>-0.12</v>
      </c>
      <c r="AH81" s="53">
        <v>99.39</v>
      </c>
      <c r="AI81" s="53">
        <v>96.1</v>
      </c>
      <c r="AJ81" s="53">
        <v>103.44</v>
      </c>
      <c r="AK81" s="53">
        <v>49.95</v>
      </c>
      <c r="AL81" s="53">
        <v>41.97</v>
      </c>
      <c r="AM81" s="53">
        <v>40.98</v>
      </c>
      <c r="AN81" s="53">
        <v>41.27</v>
      </c>
      <c r="AO81" s="53">
        <v>39.24</v>
      </c>
      <c r="AP81" s="53">
        <v>9349.36</v>
      </c>
      <c r="AQ81" s="53">
        <v>6.72</v>
      </c>
      <c r="AR81" s="53">
        <v>6.72</v>
      </c>
      <c r="AS81" s="53">
        <v>6.69</v>
      </c>
      <c r="AT81" s="53">
        <v>6.72</v>
      </c>
      <c r="AU81" s="53">
        <v>1799.35</v>
      </c>
      <c r="AV81" s="53">
        <v>2189.02</v>
      </c>
      <c r="AW81" s="53">
        <v>591.98</v>
      </c>
      <c r="AX81" s="53">
        <v>423.88</v>
      </c>
      <c r="AY81" s="53">
        <v>1765.59</v>
      </c>
      <c r="AZ81" s="53">
        <v>1401.08</v>
      </c>
      <c r="BA81" s="53">
        <v>2804.43</v>
      </c>
      <c r="BB81" s="53">
        <v>2748.52</v>
      </c>
      <c r="BC81" s="53">
        <v>2393.56</v>
      </c>
      <c r="BD81" s="53">
        <v>2945.03</v>
      </c>
      <c r="BE81" s="53">
        <v>2861.42</v>
      </c>
      <c r="BF81" s="53">
        <v>2974.56</v>
      </c>
      <c r="BG81" s="53">
        <v>2846.54</v>
      </c>
      <c r="BH81" s="53">
        <v>1755.94</v>
      </c>
      <c r="BI81" s="53">
        <v>2344.59</v>
      </c>
      <c r="BJ81" s="53">
        <v>2794.01</v>
      </c>
      <c r="BK81" s="53">
        <v>2782.45</v>
      </c>
      <c r="BL81" s="53">
        <v>1813.61</v>
      </c>
      <c r="BM81" s="53">
        <v>2876.67</v>
      </c>
      <c r="BN81" s="53">
        <v>2835.79</v>
      </c>
    </row>
    <row r="82" spans="1:66" x14ac:dyDescent="0.2">
      <c r="A82" s="64" t="s">
        <v>191</v>
      </c>
      <c r="B82" s="53">
        <v>271.97000000000003</v>
      </c>
      <c r="C82" s="53">
        <v>684065.63</v>
      </c>
      <c r="D82" s="53">
        <v>819435.69</v>
      </c>
      <c r="E82" s="53">
        <v>392408.13</v>
      </c>
      <c r="F82" s="53">
        <v>1560227</v>
      </c>
      <c r="G82" s="53">
        <v>1873463.38</v>
      </c>
      <c r="H82" s="53">
        <v>9655202.3000000007</v>
      </c>
      <c r="I82" s="53">
        <v>226871.67</v>
      </c>
      <c r="J82" s="53">
        <v>9375.0300000000007</v>
      </c>
      <c r="K82" s="53">
        <v>907450.56</v>
      </c>
      <c r="L82" s="53">
        <v>1658438.5</v>
      </c>
      <c r="M82" s="53">
        <v>1851913.25</v>
      </c>
      <c r="N82" s="53">
        <v>218.49</v>
      </c>
      <c r="O82" s="53">
        <v>30370.41</v>
      </c>
      <c r="P82" s="53">
        <v>54393.42</v>
      </c>
      <c r="Q82" s="53">
        <v>95654.59</v>
      </c>
      <c r="R82" s="53">
        <v>114305.95</v>
      </c>
      <c r="S82" s="53">
        <v>109464.08</v>
      </c>
      <c r="T82" s="53">
        <v>55996.75</v>
      </c>
      <c r="U82" s="53">
        <v>62777.24</v>
      </c>
      <c r="V82" s="53">
        <v>39.08</v>
      </c>
      <c r="W82" s="53">
        <v>39.85</v>
      </c>
      <c r="X82" s="53">
        <v>158.94</v>
      </c>
      <c r="Y82" s="53">
        <v>163.83000000000001</v>
      </c>
      <c r="Z82" s="53">
        <v>85.05</v>
      </c>
      <c r="AA82" s="53">
        <v>91.01</v>
      </c>
      <c r="AB82" s="53">
        <v>364.02</v>
      </c>
      <c r="AC82" s="53">
        <v>-0.11</v>
      </c>
      <c r="AD82" s="53">
        <v>350.98</v>
      </c>
      <c r="AE82" s="53">
        <v>-0.88</v>
      </c>
      <c r="AF82" s="53">
        <v>63.63</v>
      </c>
      <c r="AG82" s="53">
        <v>-0.12</v>
      </c>
      <c r="AH82" s="53">
        <v>99.41</v>
      </c>
      <c r="AI82" s="53">
        <v>96.13</v>
      </c>
      <c r="AJ82" s="53">
        <v>103.41</v>
      </c>
      <c r="AK82" s="53">
        <v>49.97</v>
      </c>
      <c r="AL82" s="53">
        <v>41.98</v>
      </c>
      <c r="AM82" s="53">
        <v>40.98</v>
      </c>
      <c r="AN82" s="53">
        <v>41.06</v>
      </c>
      <c r="AO82" s="53">
        <v>39.29</v>
      </c>
      <c r="AP82" s="53">
        <v>9380.32</v>
      </c>
      <c r="AQ82" s="53">
        <v>6.72</v>
      </c>
      <c r="AR82" s="53">
        <v>6.72</v>
      </c>
      <c r="AS82" s="53">
        <v>6.69</v>
      </c>
      <c r="AT82" s="53">
        <v>6.72</v>
      </c>
      <c r="AU82" s="53">
        <v>1799.43</v>
      </c>
      <c r="AV82" s="53">
        <v>2189.02</v>
      </c>
      <c r="AW82" s="53">
        <v>592.05999999999995</v>
      </c>
      <c r="AX82" s="53">
        <v>423.88</v>
      </c>
      <c r="AY82" s="53">
        <v>1765.67</v>
      </c>
      <c r="AZ82" s="53">
        <v>1401.08</v>
      </c>
      <c r="BA82" s="53">
        <v>2804.51</v>
      </c>
      <c r="BB82" s="53">
        <v>2748.6</v>
      </c>
      <c r="BC82" s="53">
        <v>2393.64</v>
      </c>
      <c r="BD82" s="53">
        <v>2945.1</v>
      </c>
      <c r="BE82" s="53">
        <v>2861.5</v>
      </c>
      <c r="BF82" s="53">
        <v>2974.64</v>
      </c>
      <c r="BG82" s="53">
        <v>2846.62</v>
      </c>
      <c r="BH82" s="53">
        <v>1756.02</v>
      </c>
      <c r="BI82" s="53">
        <v>2344.67</v>
      </c>
      <c r="BJ82" s="53">
        <v>2794.09</v>
      </c>
      <c r="BK82" s="53">
        <v>2782.53</v>
      </c>
      <c r="BL82" s="53">
        <v>1813.68</v>
      </c>
      <c r="BM82" s="53">
        <v>2876.75</v>
      </c>
      <c r="BN82" s="53">
        <v>2835.86</v>
      </c>
    </row>
    <row r="83" spans="1:66" x14ac:dyDescent="0.2">
      <c r="A83" s="64" t="s">
        <v>192</v>
      </c>
      <c r="B83" s="53">
        <v>272.76</v>
      </c>
      <c r="C83" s="53">
        <v>684102.06</v>
      </c>
      <c r="D83" s="53">
        <v>819435.69</v>
      </c>
      <c r="E83" s="53">
        <v>392444.41</v>
      </c>
      <c r="F83" s="53">
        <v>1560283.13</v>
      </c>
      <c r="G83" s="53">
        <v>1873521.88</v>
      </c>
      <c r="H83" s="53">
        <v>9655268.5899999999</v>
      </c>
      <c r="I83" s="53">
        <v>226871.67</v>
      </c>
      <c r="J83" s="53">
        <v>9375.24</v>
      </c>
      <c r="K83" s="53">
        <v>907483.31</v>
      </c>
      <c r="L83" s="53">
        <v>1658495.13</v>
      </c>
      <c r="M83" s="53">
        <v>1851981</v>
      </c>
      <c r="N83" s="53">
        <v>218.49</v>
      </c>
      <c r="O83" s="53">
        <v>30370.41</v>
      </c>
      <c r="P83" s="53">
        <v>54396.46</v>
      </c>
      <c r="Q83" s="53">
        <v>95658.04</v>
      </c>
      <c r="R83" s="53">
        <v>114309.36</v>
      </c>
      <c r="S83" s="53">
        <v>109467.46</v>
      </c>
      <c r="T83" s="53">
        <v>55999.27</v>
      </c>
      <c r="U83" s="53">
        <v>62777.24</v>
      </c>
      <c r="V83" s="53">
        <v>39.1</v>
      </c>
      <c r="W83" s="53">
        <v>39.85</v>
      </c>
      <c r="X83" s="53">
        <v>159.28</v>
      </c>
      <c r="Y83" s="53">
        <v>164.01</v>
      </c>
      <c r="Z83" s="53">
        <v>85.11</v>
      </c>
      <c r="AA83" s="53">
        <v>91.14</v>
      </c>
      <c r="AB83" s="53">
        <v>362.54</v>
      </c>
      <c r="AC83" s="53">
        <v>-0.11</v>
      </c>
      <c r="AD83" s="53">
        <v>349.86</v>
      </c>
      <c r="AE83" s="53">
        <v>-0.88</v>
      </c>
      <c r="AF83" s="53">
        <v>63.68</v>
      </c>
      <c r="AG83" s="53">
        <v>-0.12</v>
      </c>
      <c r="AH83" s="53">
        <v>99.57</v>
      </c>
      <c r="AI83" s="53">
        <v>96.14</v>
      </c>
      <c r="AJ83" s="53">
        <v>103.37</v>
      </c>
      <c r="AK83" s="53">
        <v>49.75</v>
      </c>
      <c r="AL83" s="53">
        <v>41.99</v>
      </c>
      <c r="AM83" s="53">
        <v>41.23</v>
      </c>
      <c r="AN83" s="53">
        <v>40.82</v>
      </c>
      <c r="AO83" s="53">
        <v>39.39</v>
      </c>
      <c r="AP83" s="53">
        <v>9352.7199999999993</v>
      </c>
      <c r="AQ83" s="53">
        <v>6.72</v>
      </c>
      <c r="AR83" s="53">
        <v>6.72</v>
      </c>
      <c r="AS83" s="53">
        <v>6.69</v>
      </c>
      <c r="AT83" s="53">
        <v>6.72</v>
      </c>
      <c r="AU83" s="53">
        <v>1799.52</v>
      </c>
      <c r="AV83" s="53">
        <v>2189.02</v>
      </c>
      <c r="AW83" s="53">
        <v>592.15</v>
      </c>
      <c r="AX83" s="53">
        <v>423.88</v>
      </c>
      <c r="AY83" s="53">
        <v>1765.76</v>
      </c>
      <c r="AZ83" s="53">
        <v>1401.08</v>
      </c>
      <c r="BA83" s="53">
        <v>2804.6</v>
      </c>
      <c r="BB83" s="53">
        <v>2748.69</v>
      </c>
      <c r="BC83" s="53">
        <v>2393.73</v>
      </c>
      <c r="BD83" s="53">
        <v>2945.2</v>
      </c>
      <c r="BE83" s="53">
        <v>2861.59</v>
      </c>
      <c r="BF83" s="53">
        <v>2974.74</v>
      </c>
      <c r="BG83" s="53">
        <v>2846.71</v>
      </c>
      <c r="BH83" s="53">
        <v>1756.12</v>
      </c>
      <c r="BI83" s="53">
        <v>2344.7600000000002</v>
      </c>
      <c r="BJ83" s="53">
        <v>2794.18</v>
      </c>
      <c r="BK83" s="53">
        <v>2782.62</v>
      </c>
      <c r="BL83" s="53">
        <v>1813.77</v>
      </c>
      <c r="BM83" s="53">
        <v>2876.84</v>
      </c>
      <c r="BN83" s="53">
        <v>2835.95</v>
      </c>
    </row>
    <row r="84" spans="1:66" x14ac:dyDescent="0.2">
      <c r="A84" s="64" t="s">
        <v>193</v>
      </c>
      <c r="B84" s="53">
        <v>273.85000000000002</v>
      </c>
      <c r="C84" s="53">
        <v>684138.56</v>
      </c>
      <c r="D84" s="53">
        <v>819435.69</v>
      </c>
      <c r="E84" s="53">
        <v>392480.66</v>
      </c>
      <c r="F84" s="53">
        <v>1560339.13</v>
      </c>
      <c r="G84" s="53">
        <v>1873580.38</v>
      </c>
      <c r="H84" s="53">
        <v>9655335.0800000001</v>
      </c>
      <c r="I84" s="53">
        <v>226871.67</v>
      </c>
      <c r="J84" s="53">
        <v>9375.5300000000007</v>
      </c>
      <c r="K84" s="53">
        <v>907515.94</v>
      </c>
      <c r="L84" s="53">
        <v>1658551.75</v>
      </c>
      <c r="M84" s="53">
        <v>1852048.88</v>
      </c>
      <c r="N84" s="53">
        <v>218.49</v>
      </c>
      <c r="O84" s="53">
        <v>30370.41</v>
      </c>
      <c r="P84" s="53">
        <v>54399.4</v>
      </c>
      <c r="Q84" s="53">
        <v>95661.59</v>
      </c>
      <c r="R84" s="53">
        <v>114312.88</v>
      </c>
      <c r="S84" s="53">
        <v>109470.95</v>
      </c>
      <c r="T84" s="53">
        <v>56001.86</v>
      </c>
      <c r="U84" s="53">
        <v>62777.3</v>
      </c>
      <c r="V84" s="53">
        <v>39.14</v>
      </c>
      <c r="W84" s="53">
        <v>39.9</v>
      </c>
      <c r="X84" s="53">
        <v>159.61000000000001</v>
      </c>
      <c r="Y84" s="53">
        <v>164.32</v>
      </c>
      <c r="Z84" s="53">
        <v>85.04</v>
      </c>
      <c r="AA84" s="53">
        <v>91.15</v>
      </c>
      <c r="AB84" s="53">
        <v>365.69</v>
      </c>
      <c r="AC84" s="53">
        <v>-0.11</v>
      </c>
      <c r="AD84" s="53">
        <v>352.68</v>
      </c>
      <c r="AE84" s="53">
        <v>-0.88</v>
      </c>
      <c r="AF84" s="53">
        <v>63.82</v>
      </c>
      <c r="AG84" s="53">
        <v>-0.12</v>
      </c>
      <c r="AH84" s="53">
        <v>99.82</v>
      </c>
      <c r="AI84" s="53">
        <v>96.24</v>
      </c>
      <c r="AJ84" s="53">
        <v>103.41</v>
      </c>
      <c r="AK84" s="53">
        <v>49.76</v>
      </c>
      <c r="AL84" s="53">
        <v>42.25</v>
      </c>
      <c r="AM84" s="53">
        <v>41.28</v>
      </c>
      <c r="AN84" s="53">
        <v>40.799999999999997</v>
      </c>
      <c r="AO84" s="53">
        <v>39.42</v>
      </c>
      <c r="AP84" s="53">
        <v>9417.7900000000009</v>
      </c>
      <c r="AQ84" s="53">
        <v>6.72</v>
      </c>
      <c r="AR84" s="53">
        <v>6.72</v>
      </c>
      <c r="AS84" s="53">
        <v>6.68</v>
      </c>
      <c r="AT84" s="53">
        <v>6.72</v>
      </c>
      <c r="AU84" s="53">
        <v>1799.61</v>
      </c>
      <c r="AV84" s="53">
        <v>2189.02</v>
      </c>
      <c r="AW84" s="53">
        <v>592.24</v>
      </c>
      <c r="AX84" s="53">
        <v>423.88</v>
      </c>
      <c r="AY84" s="53">
        <v>1765.85</v>
      </c>
      <c r="AZ84" s="53">
        <v>1401.08</v>
      </c>
      <c r="BA84" s="53">
        <v>2804.69</v>
      </c>
      <c r="BB84" s="53">
        <v>2748.78</v>
      </c>
      <c r="BC84" s="53">
        <v>2393.8200000000002</v>
      </c>
      <c r="BD84" s="53">
        <v>2945.29</v>
      </c>
      <c r="BE84" s="53">
        <v>2861.68</v>
      </c>
      <c r="BF84" s="53">
        <v>2974.82</v>
      </c>
      <c r="BG84" s="53">
        <v>2846.8</v>
      </c>
      <c r="BH84" s="53">
        <v>1756.2</v>
      </c>
      <c r="BI84" s="53">
        <v>2344.85</v>
      </c>
      <c r="BJ84" s="53">
        <v>2794.27</v>
      </c>
      <c r="BK84" s="53">
        <v>2782.71</v>
      </c>
      <c r="BL84" s="53">
        <v>1813.87</v>
      </c>
      <c r="BM84" s="53">
        <v>2876.93</v>
      </c>
      <c r="BN84" s="53">
        <v>2836.05</v>
      </c>
    </row>
    <row r="85" spans="1:66" x14ac:dyDescent="0.2">
      <c r="A85" s="64" t="s">
        <v>194</v>
      </c>
      <c r="B85" s="53">
        <v>273.2</v>
      </c>
      <c r="C85" s="53">
        <v>684175.25</v>
      </c>
      <c r="D85" s="53">
        <v>819435.69</v>
      </c>
      <c r="E85" s="53">
        <v>392517.06</v>
      </c>
      <c r="F85" s="53">
        <v>1560395.5</v>
      </c>
      <c r="G85" s="53">
        <v>1873639.25</v>
      </c>
      <c r="H85" s="53">
        <v>9655401.7200000007</v>
      </c>
      <c r="I85" s="53">
        <v>226871.67</v>
      </c>
      <c r="J85" s="53">
        <v>9375.74</v>
      </c>
      <c r="K85" s="53">
        <v>907548.5</v>
      </c>
      <c r="L85" s="53">
        <v>1658608.5</v>
      </c>
      <c r="M85" s="53">
        <v>1852117.13</v>
      </c>
      <c r="N85" s="53">
        <v>218.49</v>
      </c>
      <c r="O85" s="53">
        <v>30370.41</v>
      </c>
      <c r="P85" s="53">
        <v>54402.400000000001</v>
      </c>
      <c r="Q85" s="53">
        <v>95665.05</v>
      </c>
      <c r="R85" s="53">
        <v>114316.29</v>
      </c>
      <c r="S85" s="53">
        <v>109474.34</v>
      </c>
      <c r="T85" s="53">
        <v>56004.36</v>
      </c>
      <c r="U85" s="53">
        <v>62777.3</v>
      </c>
      <c r="V85" s="53">
        <v>39.07</v>
      </c>
      <c r="W85" s="53">
        <v>39.840000000000003</v>
      </c>
      <c r="X85" s="53">
        <v>159.13999999999999</v>
      </c>
      <c r="Y85" s="53">
        <v>163.82</v>
      </c>
      <c r="Z85" s="53">
        <v>84.63</v>
      </c>
      <c r="AA85" s="53">
        <v>90.81</v>
      </c>
      <c r="AB85" s="53">
        <v>366.7</v>
      </c>
      <c r="AC85" s="53">
        <v>-0.11</v>
      </c>
      <c r="AD85" s="53">
        <v>353.41</v>
      </c>
      <c r="AE85" s="53">
        <v>-0.88</v>
      </c>
      <c r="AF85" s="53">
        <v>63.88</v>
      </c>
      <c r="AG85" s="53">
        <v>-0.12</v>
      </c>
      <c r="AH85" s="53">
        <v>99.63</v>
      </c>
      <c r="AI85" s="53">
        <v>96.01</v>
      </c>
      <c r="AJ85" s="53">
        <v>103.22</v>
      </c>
      <c r="AK85" s="53">
        <v>49.72</v>
      </c>
      <c r="AL85" s="53">
        <v>42.26</v>
      </c>
      <c r="AM85" s="53">
        <v>41.1</v>
      </c>
      <c r="AN85" s="53">
        <v>40.76</v>
      </c>
      <c r="AO85" s="53">
        <v>39.35</v>
      </c>
      <c r="AP85" s="53">
        <v>9413</v>
      </c>
      <c r="AQ85" s="53">
        <v>6.72</v>
      </c>
      <c r="AR85" s="53">
        <v>6.72</v>
      </c>
      <c r="AS85" s="53">
        <v>6.68</v>
      </c>
      <c r="AT85" s="53">
        <v>6.72</v>
      </c>
      <c r="AU85" s="53">
        <v>1799.69</v>
      </c>
      <c r="AV85" s="53">
        <v>2189.02</v>
      </c>
      <c r="AW85" s="53">
        <v>592.32000000000005</v>
      </c>
      <c r="AX85" s="53">
        <v>423.88</v>
      </c>
      <c r="AY85" s="53">
        <v>1765.93</v>
      </c>
      <c r="AZ85" s="53">
        <v>1401.08</v>
      </c>
      <c r="BA85" s="53">
        <v>2804.77</v>
      </c>
      <c r="BB85" s="53">
        <v>2748.86</v>
      </c>
      <c r="BC85" s="53">
        <v>2393.9</v>
      </c>
      <c r="BD85" s="53">
        <v>2945.37</v>
      </c>
      <c r="BE85" s="53">
        <v>2861.76</v>
      </c>
      <c r="BF85" s="53">
        <v>2974.91</v>
      </c>
      <c r="BG85" s="53">
        <v>2846.88</v>
      </c>
      <c r="BH85" s="53">
        <v>1756.29</v>
      </c>
      <c r="BI85" s="53">
        <v>2344.9299999999998</v>
      </c>
      <c r="BJ85" s="53">
        <v>2794.35</v>
      </c>
      <c r="BK85" s="53">
        <v>2782.79</v>
      </c>
      <c r="BL85" s="53">
        <v>1813.95</v>
      </c>
      <c r="BM85" s="53">
        <v>2877.01</v>
      </c>
      <c r="BN85" s="53">
        <v>2836.13</v>
      </c>
    </row>
    <row r="86" spans="1:66" x14ac:dyDescent="0.2">
      <c r="A86" s="64" t="s">
        <v>195</v>
      </c>
      <c r="B86" s="53">
        <v>274.54000000000002</v>
      </c>
      <c r="C86" s="53">
        <v>684211.81</v>
      </c>
      <c r="D86" s="53">
        <v>819435.69</v>
      </c>
      <c r="E86" s="53">
        <v>392553.22</v>
      </c>
      <c r="F86" s="53">
        <v>1560451.75</v>
      </c>
      <c r="G86" s="53">
        <v>1873697.75</v>
      </c>
      <c r="H86" s="53">
        <v>9655468.3200000003</v>
      </c>
      <c r="I86" s="53">
        <v>226871.67</v>
      </c>
      <c r="J86" s="53">
        <v>9375.94</v>
      </c>
      <c r="K86" s="53">
        <v>907581.06</v>
      </c>
      <c r="L86" s="53">
        <v>1658665.13</v>
      </c>
      <c r="M86" s="53">
        <v>1852185.13</v>
      </c>
      <c r="N86" s="53">
        <v>218.49</v>
      </c>
      <c r="O86" s="53">
        <v>30370.41</v>
      </c>
      <c r="P86" s="53">
        <v>54405.29</v>
      </c>
      <c r="Q86" s="53">
        <v>95668.5</v>
      </c>
      <c r="R86" s="53">
        <v>114319.7</v>
      </c>
      <c r="S86" s="53">
        <v>109477.73</v>
      </c>
      <c r="T86" s="53">
        <v>56006.84</v>
      </c>
      <c r="U86" s="53">
        <v>62777.3</v>
      </c>
      <c r="V86" s="53">
        <v>39.03</v>
      </c>
      <c r="W86" s="53">
        <v>39.78</v>
      </c>
      <c r="X86" s="53">
        <v>158.66999999999999</v>
      </c>
      <c r="Y86" s="53">
        <v>162.69</v>
      </c>
      <c r="Z86" s="53">
        <v>84.68</v>
      </c>
      <c r="AA86" s="53">
        <v>90.52</v>
      </c>
      <c r="AB86" s="53">
        <v>364.12</v>
      </c>
      <c r="AC86" s="53">
        <v>-0.11</v>
      </c>
      <c r="AD86" s="53">
        <v>351.27</v>
      </c>
      <c r="AE86" s="53">
        <v>-0.88</v>
      </c>
      <c r="AF86" s="53">
        <v>63.61</v>
      </c>
      <c r="AG86" s="53">
        <v>-0.12</v>
      </c>
      <c r="AH86" s="53">
        <v>99.39</v>
      </c>
      <c r="AI86" s="53">
        <v>95.82</v>
      </c>
      <c r="AJ86" s="53">
        <v>102.95</v>
      </c>
      <c r="AK86" s="53">
        <v>49.66</v>
      </c>
      <c r="AL86" s="53">
        <v>42.28</v>
      </c>
      <c r="AM86" s="53">
        <v>41.2</v>
      </c>
      <c r="AN86" s="53">
        <v>40.78</v>
      </c>
      <c r="AO86" s="53">
        <v>39.35</v>
      </c>
      <c r="AP86" s="53">
        <v>9395.02</v>
      </c>
      <c r="AQ86" s="53">
        <v>6.72</v>
      </c>
      <c r="AR86" s="53">
        <v>6.72</v>
      </c>
      <c r="AS86" s="53">
        <v>6.68</v>
      </c>
      <c r="AT86" s="53">
        <v>6.72</v>
      </c>
      <c r="AU86" s="53">
        <v>1799.77</v>
      </c>
      <c r="AV86" s="53">
        <v>2189.02</v>
      </c>
      <c r="AW86" s="53">
        <v>592.4</v>
      </c>
      <c r="AX86" s="53">
        <v>423.88</v>
      </c>
      <c r="AY86" s="53">
        <v>1766.01</v>
      </c>
      <c r="AZ86" s="53">
        <v>1401.08</v>
      </c>
      <c r="BA86" s="53">
        <v>2804.85</v>
      </c>
      <c r="BB86" s="53">
        <v>2748.94</v>
      </c>
      <c r="BC86" s="53">
        <v>2393.98</v>
      </c>
      <c r="BD86" s="53">
        <v>2945.45</v>
      </c>
      <c r="BE86" s="53">
        <v>2861.84</v>
      </c>
      <c r="BF86" s="53">
        <v>2974.99</v>
      </c>
      <c r="BG86" s="53">
        <v>2846.96</v>
      </c>
      <c r="BH86" s="53">
        <v>1756.37</v>
      </c>
      <c r="BI86" s="53">
        <v>2345.0100000000002</v>
      </c>
      <c r="BJ86" s="53">
        <v>2794.43</v>
      </c>
      <c r="BK86" s="53">
        <v>2782.87</v>
      </c>
      <c r="BL86" s="53">
        <v>1814.03</v>
      </c>
      <c r="BM86" s="53">
        <v>2877.09</v>
      </c>
      <c r="BN86" s="53">
        <v>2836.21</v>
      </c>
    </row>
    <row r="87" spans="1:66" x14ac:dyDescent="0.2">
      <c r="A87" s="64" t="s">
        <v>196</v>
      </c>
      <c r="B87" s="53">
        <v>273.95</v>
      </c>
      <c r="C87" s="53">
        <v>684248.56</v>
      </c>
      <c r="D87" s="53">
        <v>819435.69</v>
      </c>
      <c r="E87" s="53">
        <v>392589.81</v>
      </c>
      <c r="F87" s="53">
        <v>1560508.25</v>
      </c>
      <c r="G87" s="53">
        <v>1873756.75</v>
      </c>
      <c r="H87" s="53">
        <v>9655535.0999999996</v>
      </c>
      <c r="I87" s="53">
        <v>226871.67</v>
      </c>
      <c r="J87" s="53">
        <v>9376.26</v>
      </c>
      <c r="K87" s="53">
        <v>907613.5</v>
      </c>
      <c r="L87" s="53">
        <v>1658721.5</v>
      </c>
      <c r="M87" s="53">
        <v>1852253.5</v>
      </c>
      <c r="N87" s="53">
        <v>218.49</v>
      </c>
      <c r="O87" s="53">
        <v>30370.41</v>
      </c>
      <c r="P87" s="53">
        <v>54408.28</v>
      </c>
      <c r="Q87" s="53">
        <v>95672.05</v>
      </c>
      <c r="R87" s="53">
        <v>114323.11</v>
      </c>
      <c r="S87" s="53">
        <v>109481.22</v>
      </c>
      <c r="T87" s="53">
        <v>56009.34</v>
      </c>
      <c r="U87" s="53">
        <v>62777.5</v>
      </c>
      <c r="V87" s="53">
        <v>39.04</v>
      </c>
      <c r="W87" s="53">
        <v>39.76</v>
      </c>
      <c r="X87" s="53">
        <v>158.31</v>
      </c>
      <c r="Y87" s="53">
        <v>162.74</v>
      </c>
      <c r="Z87" s="53">
        <v>84.71</v>
      </c>
      <c r="AA87" s="53">
        <v>90.53</v>
      </c>
      <c r="AB87" s="53">
        <v>366.81</v>
      </c>
      <c r="AC87" s="53">
        <v>-0.11</v>
      </c>
      <c r="AD87" s="53">
        <v>353.35</v>
      </c>
      <c r="AE87" s="53">
        <v>-0.88</v>
      </c>
      <c r="AF87" s="53">
        <v>63.79</v>
      </c>
      <c r="AG87" s="53">
        <v>-0.12</v>
      </c>
      <c r="AH87" s="53">
        <v>99.4</v>
      </c>
      <c r="AI87" s="53">
        <v>95.82</v>
      </c>
      <c r="AJ87" s="53">
        <v>102.99</v>
      </c>
      <c r="AK87" s="53">
        <v>49.79</v>
      </c>
      <c r="AL87" s="53">
        <v>42.29</v>
      </c>
      <c r="AM87" s="53">
        <v>41.05</v>
      </c>
      <c r="AN87" s="53">
        <v>40.82</v>
      </c>
      <c r="AO87" s="53">
        <v>39.31</v>
      </c>
      <c r="AP87" s="53">
        <v>9441.92</v>
      </c>
      <c r="AQ87" s="53">
        <v>6.72</v>
      </c>
      <c r="AR87" s="53">
        <v>6.72</v>
      </c>
      <c r="AS87" s="53">
        <v>6.68</v>
      </c>
      <c r="AT87" s="53">
        <v>6.72</v>
      </c>
      <c r="AU87" s="53">
        <v>1799.85</v>
      </c>
      <c r="AV87" s="53">
        <v>2189.02</v>
      </c>
      <c r="AW87" s="53">
        <v>592.48</v>
      </c>
      <c r="AX87" s="53">
        <v>423.88</v>
      </c>
      <c r="AY87" s="53">
        <v>1766.09</v>
      </c>
      <c r="AZ87" s="53">
        <v>1401.08</v>
      </c>
      <c r="BA87" s="53">
        <v>2804.93</v>
      </c>
      <c r="BB87" s="53">
        <v>2749.02</v>
      </c>
      <c r="BC87" s="53">
        <v>2394.06</v>
      </c>
      <c r="BD87" s="53">
        <v>2945.53</v>
      </c>
      <c r="BE87" s="53">
        <v>2861.92</v>
      </c>
      <c r="BF87" s="53">
        <v>2975.07</v>
      </c>
      <c r="BG87" s="53">
        <v>2847.04</v>
      </c>
      <c r="BH87" s="53">
        <v>1756.45</v>
      </c>
      <c r="BI87" s="53">
        <v>2345.09</v>
      </c>
      <c r="BJ87" s="53">
        <v>2794.51</v>
      </c>
      <c r="BK87" s="53">
        <v>2782.95</v>
      </c>
      <c r="BL87" s="53">
        <v>1814.1</v>
      </c>
      <c r="BM87" s="53">
        <v>2877.17</v>
      </c>
      <c r="BN87" s="53">
        <v>2836.28</v>
      </c>
    </row>
    <row r="88" spans="1:66" x14ac:dyDescent="0.2">
      <c r="A88" s="64" t="s">
        <v>197</v>
      </c>
      <c r="B88" s="53">
        <v>273.41000000000003</v>
      </c>
      <c r="C88" s="53">
        <v>684285.13</v>
      </c>
      <c r="D88" s="53">
        <v>819435.69</v>
      </c>
      <c r="E88" s="53">
        <v>392626</v>
      </c>
      <c r="F88" s="53">
        <v>1560564.5</v>
      </c>
      <c r="G88" s="53">
        <v>1873815.38</v>
      </c>
      <c r="H88" s="53">
        <v>9655601.8100000005</v>
      </c>
      <c r="I88" s="53">
        <v>226871.67</v>
      </c>
      <c r="J88" s="53">
        <v>9376.48</v>
      </c>
      <c r="K88" s="53">
        <v>907646.13</v>
      </c>
      <c r="L88" s="53">
        <v>1658777.88</v>
      </c>
      <c r="M88" s="53">
        <v>1852321.63</v>
      </c>
      <c r="N88" s="53">
        <v>218.49</v>
      </c>
      <c r="O88" s="53">
        <v>30370.41</v>
      </c>
      <c r="P88" s="53">
        <v>54411.28</v>
      </c>
      <c r="Q88" s="53">
        <v>95675.5</v>
      </c>
      <c r="R88" s="53">
        <v>114326.43</v>
      </c>
      <c r="S88" s="53">
        <v>109484.6</v>
      </c>
      <c r="T88" s="53">
        <v>56011.82</v>
      </c>
      <c r="U88" s="53">
        <v>62777.71</v>
      </c>
      <c r="V88" s="53">
        <v>39</v>
      </c>
      <c r="W88" s="53">
        <v>39.75</v>
      </c>
      <c r="X88" s="53">
        <v>158.16999999999999</v>
      </c>
      <c r="Y88" s="53">
        <v>162.85</v>
      </c>
      <c r="Z88" s="53">
        <v>84.87</v>
      </c>
      <c r="AA88" s="53">
        <v>90.58</v>
      </c>
      <c r="AB88" s="53">
        <v>364.29</v>
      </c>
      <c r="AC88" s="53">
        <v>-0.11</v>
      </c>
      <c r="AD88" s="53">
        <v>351.28</v>
      </c>
      <c r="AE88" s="53">
        <v>-0.88</v>
      </c>
      <c r="AF88" s="53">
        <v>63.67</v>
      </c>
      <c r="AG88" s="53">
        <v>-0.12</v>
      </c>
      <c r="AH88" s="53">
        <v>99.44</v>
      </c>
      <c r="AI88" s="53">
        <v>95.91</v>
      </c>
      <c r="AJ88" s="53">
        <v>103.09</v>
      </c>
      <c r="AK88" s="53">
        <v>49.74</v>
      </c>
      <c r="AL88" s="53">
        <v>42.37</v>
      </c>
      <c r="AM88" s="53">
        <v>40.97</v>
      </c>
      <c r="AN88" s="53">
        <v>40.92</v>
      </c>
      <c r="AO88" s="53">
        <v>39.24</v>
      </c>
      <c r="AP88" s="53">
        <v>9398.3799999999992</v>
      </c>
      <c r="AQ88" s="53">
        <v>6.72</v>
      </c>
      <c r="AR88" s="53">
        <v>6.72</v>
      </c>
      <c r="AS88" s="53">
        <v>6.68</v>
      </c>
      <c r="AT88" s="53">
        <v>6.72</v>
      </c>
      <c r="AU88" s="53">
        <v>1799.93</v>
      </c>
      <c r="AV88" s="53">
        <v>2189.02</v>
      </c>
      <c r="AW88" s="53">
        <v>592.55999999999995</v>
      </c>
      <c r="AX88" s="53">
        <v>423.88</v>
      </c>
      <c r="AY88" s="53">
        <v>1766.17</v>
      </c>
      <c r="AZ88" s="53">
        <v>1401.08</v>
      </c>
      <c r="BA88" s="53">
        <v>2805.01</v>
      </c>
      <c r="BB88" s="53">
        <v>2749.1</v>
      </c>
      <c r="BC88" s="53">
        <v>2394.14</v>
      </c>
      <c r="BD88" s="53">
        <v>2945.61</v>
      </c>
      <c r="BE88" s="53">
        <v>2862</v>
      </c>
      <c r="BF88" s="53">
        <v>2975.15</v>
      </c>
      <c r="BG88" s="53">
        <v>2847.12</v>
      </c>
      <c r="BH88" s="53">
        <v>1756.53</v>
      </c>
      <c r="BI88" s="53">
        <v>2345.17</v>
      </c>
      <c r="BJ88" s="53">
        <v>2794.59</v>
      </c>
      <c r="BK88" s="53">
        <v>2783.03</v>
      </c>
      <c r="BL88" s="53">
        <v>1814.18</v>
      </c>
      <c r="BM88" s="53">
        <v>2877.25</v>
      </c>
      <c r="BN88" s="53">
        <v>2836.36</v>
      </c>
    </row>
    <row r="89" spans="1:66" x14ac:dyDescent="0.2">
      <c r="A89" s="64" t="s">
        <v>198</v>
      </c>
      <c r="B89" s="53">
        <v>275.08999999999997</v>
      </c>
      <c r="C89" s="53">
        <v>684321.75</v>
      </c>
      <c r="D89" s="53">
        <v>819435.69</v>
      </c>
      <c r="E89" s="53">
        <v>392662.5</v>
      </c>
      <c r="F89" s="53">
        <v>1560620.75</v>
      </c>
      <c r="G89" s="53">
        <v>1873874.25</v>
      </c>
      <c r="H89" s="53">
        <v>9655668.4800000004</v>
      </c>
      <c r="I89" s="53">
        <v>226871.67</v>
      </c>
      <c r="J89" s="53">
        <v>9376.69</v>
      </c>
      <c r="K89" s="53">
        <v>907678.63</v>
      </c>
      <c r="L89" s="53">
        <v>1658834.13</v>
      </c>
      <c r="M89" s="53">
        <v>1852389.75</v>
      </c>
      <c r="N89" s="53">
        <v>218.49</v>
      </c>
      <c r="O89" s="53">
        <v>30370.41</v>
      </c>
      <c r="P89" s="53">
        <v>54414.19</v>
      </c>
      <c r="Q89" s="53">
        <v>95678.95</v>
      </c>
      <c r="R89" s="53">
        <v>114329.85</v>
      </c>
      <c r="S89" s="53">
        <v>109487.99</v>
      </c>
      <c r="T89" s="53">
        <v>56014.34</v>
      </c>
      <c r="U89" s="53">
        <v>62777.71</v>
      </c>
      <c r="V89" s="53">
        <v>38.96</v>
      </c>
      <c r="W89" s="53">
        <v>39.67</v>
      </c>
      <c r="X89" s="53">
        <v>158.02000000000001</v>
      </c>
      <c r="Y89" s="53">
        <v>162.84</v>
      </c>
      <c r="Z89" s="53">
        <v>84.86</v>
      </c>
      <c r="AA89" s="53">
        <v>90.52</v>
      </c>
      <c r="AB89" s="53">
        <v>365.7</v>
      </c>
      <c r="AC89" s="53">
        <v>-0.11</v>
      </c>
      <c r="AD89" s="53">
        <v>352.57</v>
      </c>
      <c r="AE89" s="53">
        <v>-0.88</v>
      </c>
      <c r="AF89" s="53">
        <v>63.69</v>
      </c>
      <c r="AG89" s="53">
        <v>-0.12</v>
      </c>
      <c r="AH89" s="53">
        <v>99.4</v>
      </c>
      <c r="AI89" s="53">
        <v>95.88</v>
      </c>
      <c r="AJ89" s="53">
        <v>103.07</v>
      </c>
      <c r="AK89" s="53">
        <v>49.71</v>
      </c>
      <c r="AL89" s="53">
        <v>42.43</v>
      </c>
      <c r="AM89" s="53">
        <v>40.840000000000003</v>
      </c>
      <c r="AN89" s="53">
        <v>40.93</v>
      </c>
      <c r="AO89" s="53">
        <v>39.18</v>
      </c>
      <c r="AP89" s="53">
        <v>9419.77</v>
      </c>
      <c r="AQ89" s="53">
        <v>6.72</v>
      </c>
      <c r="AR89" s="53">
        <v>6.72</v>
      </c>
      <c r="AS89" s="53">
        <v>6.68</v>
      </c>
      <c r="AT89" s="53">
        <v>6.72</v>
      </c>
      <c r="AU89" s="53">
        <v>1800.02</v>
      </c>
      <c r="AV89" s="53">
        <v>2189.02</v>
      </c>
      <c r="AW89" s="53">
        <v>592.65</v>
      </c>
      <c r="AX89" s="53">
        <v>423.88</v>
      </c>
      <c r="AY89" s="53">
        <v>1766.26</v>
      </c>
      <c r="AZ89" s="53">
        <v>1401.08</v>
      </c>
      <c r="BA89" s="53">
        <v>2805.09</v>
      </c>
      <c r="BB89" s="53">
        <v>2749.18</v>
      </c>
      <c r="BC89" s="53">
        <v>2394.2199999999998</v>
      </c>
      <c r="BD89" s="53">
        <v>2945.69</v>
      </c>
      <c r="BE89" s="53">
        <v>2862.08</v>
      </c>
      <c r="BF89" s="53">
        <v>2975.23</v>
      </c>
      <c r="BG89" s="53">
        <v>2847.21</v>
      </c>
      <c r="BH89" s="53">
        <v>1756.6</v>
      </c>
      <c r="BI89" s="53">
        <v>2345.25</v>
      </c>
      <c r="BJ89" s="53">
        <v>2794.68</v>
      </c>
      <c r="BK89" s="53">
        <v>2783.11</v>
      </c>
      <c r="BL89" s="53">
        <v>1814.27</v>
      </c>
      <c r="BM89" s="53">
        <v>2877.34</v>
      </c>
      <c r="BN89" s="53">
        <v>2836.45</v>
      </c>
    </row>
    <row r="90" spans="1:66" x14ac:dyDescent="0.2">
      <c r="A90" s="64" t="s">
        <v>199</v>
      </c>
      <c r="B90" s="53">
        <v>272.79000000000002</v>
      </c>
      <c r="C90" s="53">
        <v>684358.75</v>
      </c>
      <c r="D90" s="53">
        <v>819435.69</v>
      </c>
      <c r="E90" s="53">
        <v>392699.19</v>
      </c>
      <c r="F90" s="53">
        <v>1560677.63</v>
      </c>
      <c r="G90" s="53">
        <v>1873933.5</v>
      </c>
      <c r="H90" s="53">
        <v>9655735.5500000007</v>
      </c>
      <c r="I90" s="53">
        <v>226871.67</v>
      </c>
      <c r="J90" s="53">
        <v>9376.89</v>
      </c>
      <c r="K90" s="53">
        <v>907711.25</v>
      </c>
      <c r="L90" s="53">
        <v>1658890.25</v>
      </c>
      <c r="M90" s="53">
        <v>1852458.63</v>
      </c>
      <c r="N90" s="53">
        <v>218.49</v>
      </c>
      <c r="O90" s="53">
        <v>30370.41</v>
      </c>
      <c r="P90" s="53">
        <v>54417.07</v>
      </c>
      <c r="Q90" s="53">
        <v>95682.51</v>
      </c>
      <c r="R90" s="53">
        <v>114333.17</v>
      </c>
      <c r="S90" s="53">
        <v>109491.48</v>
      </c>
      <c r="T90" s="53">
        <v>56016.959999999999</v>
      </c>
      <c r="U90" s="53">
        <v>62777.71</v>
      </c>
      <c r="V90" s="53">
        <v>38.909999999999997</v>
      </c>
      <c r="W90" s="53">
        <v>39.619999999999997</v>
      </c>
      <c r="X90" s="53">
        <v>157.84</v>
      </c>
      <c r="Y90" s="53">
        <v>162.76</v>
      </c>
      <c r="Z90" s="53">
        <v>85.23</v>
      </c>
      <c r="AA90" s="53">
        <v>90.59</v>
      </c>
      <c r="AB90" s="53">
        <v>368.95</v>
      </c>
      <c r="AC90" s="53">
        <v>-0.11</v>
      </c>
      <c r="AD90" s="53">
        <v>355.1</v>
      </c>
      <c r="AE90" s="53">
        <v>-0.88</v>
      </c>
      <c r="AF90" s="53">
        <v>63.92</v>
      </c>
      <c r="AG90" s="53">
        <v>-0.12</v>
      </c>
      <c r="AH90" s="53">
        <v>99.27</v>
      </c>
      <c r="AI90" s="53">
        <v>95.9</v>
      </c>
      <c r="AJ90" s="53">
        <v>103.1</v>
      </c>
      <c r="AK90" s="53">
        <v>48.82</v>
      </c>
      <c r="AL90" s="53">
        <v>42.6</v>
      </c>
      <c r="AM90" s="53">
        <v>40.9</v>
      </c>
      <c r="AN90" s="53">
        <v>41.13</v>
      </c>
      <c r="AO90" s="53">
        <v>38.96</v>
      </c>
      <c r="AP90" s="53">
        <v>9479.2800000000007</v>
      </c>
      <c r="AQ90" s="53">
        <v>6.72</v>
      </c>
      <c r="AR90" s="53">
        <v>6.72</v>
      </c>
      <c r="AS90" s="53">
        <v>6.68</v>
      </c>
      <c r="AT90" s="53">
        <v>6.72</v>
      </c>
      <c r="AU90" s="53">
        <v>1800.11</v>
      </c>
      <c r="AV90" s="53">
        <v>2189.02</v>
      </c>
      <c r="AW90" s="53">
        <v>592.74</v>
      </c>
      <c r="AX90" s="53">
        <v>423.88</v>
      </c>
      <c r="AY90" s="53">
        <v>1766.35</v>
      </c>
      <c r="AZ90" s="53">
        <v>1401.08</v>
      </c>
      <c r="BA90" s="53">
        <v>2805.19</v>
      </c>
      <c r="BB90" s="53">
        <v>2749.28</v>
      </c>
      <c r="BC90" s="53">
        <v>2394.3200000000002</v>
      </c>
      <c r="BD90" s="53">
        <v>2945.79</v>
      </c>
      <c r="BE90" s="53">
        <v>2862.18</v>
      </c>
      <c r="BF90" s="53">
        <v>2975.33</v>
      </c>
      <c r="BG90" s="53">
        <v>2847.3</v>
      </c>
      <c r="BH90" s="53">
        <v>1756.7</v>
      </c>
      <c r="BI90" s="53">
        <v>2345.35</v>
      </c>
      <c r="BJ90" s="53">
        <v>2794.77</v>
      </c>
      <c r="BK90" s="53">
        <v>2783.21</v>
      </c>
      <c r="BL90" s="53">
        <v>1814.37</v>
      </c>
      <c r="BM90" s="53">
        <v>2877.43</v>
      </c>
      <c r="BN90" s="53">
        <v>2836.55</v>
      </c>
    </row>
    <row r="91" spans="1:66" x14ac:dyDescent="0.2">
      <c r="A91" s="64" t="s">
        <v>200</v>
      </c>
      <c r="B91" s="53">
        <v>270.89999999999998</v>
      </c>
      <c r="C91" s="53">
        <v>684395.25</v>
      </c>
      <c r="D91" s="53">
        <v>819435.69</v>
      </c>
      <c r="E91" s="53">
        <v>392735.38</v>
      </c>
      <c r="F91" s="53">
        <v>1560733.88</v>
      </c>
      <c r="G91" s="53">
        <v>1873992.25</v>
      </c>
      <c r="H91" s="53">
        <v>9655802.2599999998</v>
      </c>
      <c r="I91" s="53">
        <v>226871.67</v>
      </c>
      <c r="J91" s="53">
        <v>9377.2000000000007</v>
      </c>
      <c r="K91" s="53">
        <v>907744</v>
      </c>
      <c r="L91" s="53">
        <v>1658946.5</v>
      </c>
      <c r="M91" s="53">
        <v>1852526.5</v>
      </c>
      <c r="N91" s="53">
        <v>218.49</v>
      </c>
      <c r="O91" s="53">
        <v>30370.41</v>
      </c>
      <c r="P91" s="53">
        <v>54419.8</v>
      </c>
      <c r="Q91" s="53">
        <v>95685.96</v>
      </c>
      <c r="R91" s="53">
        <v>114336.49</v>
      </c>
      <c r="S91" s="53">
        <v>109494.87</v>
      </c>
      <c r="T91" s="53">
        <v>56019.38</v>
      </c>
      <c r="U91" s="53">
        <v>62778.04</v>
      </c>
      <c r="V91" s="53">
        <v>38.85</v>
      </c>
      <c r="W91" s="53">
        <v>39.57</v>
      </c>
      <c r="X91" s="53">
        <v>157.62</v>
      </c>
      <c r="Y91" s="53">
        <v>162.47</v>
      </c>
      <c r="Z91" s="53">
        <v>85.62</v>
      </c>
      <c r="AA91" s="53">
        <v>90.81</v>
      </c>
      <c r="AB91" s="53">
        <v>362.1</v>
      </c>
      <c r="AC91" s="53">
        <v>-0.11</v>
      </c>
      <c r="AD91" s="53">
        <v>348.97</v>
      </c>
      <c r="AE91" s="53">
        <v>-0.88</v>
      </c>
      <c r="AF91" s="53">
        <v>63.49</v>
      </c>
      <c r="AG91" s="53">
        <v>-0.12</v>
      </c>
      <c r="AH91" s="53">
        <v>99.11</v>
      </c>
      <c r="AI91" s="53">
        <v>95.79</v>
      </c>
      <c r="AJ91" s="53">
        <v>103.06</v>
      </c>
      <c r="AK91" s="53">
        <v>48.23</v>
      </c>
      <c r="AL91" s="53">
        <v>42.69</v>
      </c>
      <c r="AM91" s="53">
        <v>41.01</v>
      </c>
      <c r="AN91" s="53">
        <v>41.31</v>
      </c>
      <c r="AO91" s="53">
        <v>38.840000000000003</v>
      </c>
      <c r="AP91" s="53">
        <v>9351.02</v>
      </c>
      <c r="AQ91" s="53">
        <v>6.72</v>
      </c>
      <c r="AR91" s="53">
        <v>6.72</v>
      </c>
      <c r="AS91" s="53">
        <v>6.68</v>
      </c>
      <c r="AT91" s="53">
        <v>6.72</v>
      </c>
      <c r="AU91" s="53">
        <v>1800.19</v>
      </c>
      <c r="AV91" s="53">
        <v>2189.02</v>
      </c>
      <c r="AW91" s="53">
        <v>592.82000000000005</v>
      </c>
      <c r="AX91" s="53">
        <v>423.88</v>
      </c>
      <c r="AY91" s="53">
        <v>1766.43</v>
      </c>
      <c r="AZ91" s="53">
        <v>1401.08</v>
      </c>
      <c r="BA91" s="53">
        <v>2805.27</v>
      </c>
      <c r="BB91" s="53">
        <v>2749.36</v>
      </c>
      <c r="BC91" s="53">
        <v>2394.4</v>
      </c>
      <c r="BD91" s="53">
        <v>2945.87</v>
      </c>
      <c r="BE91" s="53">
        <v>2862.26</v>
      </c>
      <c r="BF91" s="53">
        <v>2975.4</v>
      </c>
      <c r="BG91" s="53">
        <v>2847.38</v>
      </c>
      <c r="BH91" s="53">
        <v>1756.78</v>
      </c>
      <c r="BI91" s="53">
        <v>2345.4299999999998</v>
      </c>
      <c r="BJ91" s="53">
        <v>2794.85</v>
      </c>
      <c r="BK91" s="53">
        <v>2783.29</v>
      </c>
      <c r="BL91" s="53">
        <v>1814.44</v>
      </c>
      <c r="BM91" s="53">
        <v>2877.51</v>
      </c>
      <c r="BN91" s="53">
        <v>2836.62</v>
      </c>
    </row>
    <row r="92" spans="1:66" x14ac:dyDescent="0.2">
      <c r="A92" s="64" t="s">
        <v>201</v>
      </c>
      <c r="B92" s="53">
        <v>272.72000000000003</v>
      </c>
      <c r="C92" s="53">
        <v>684431.63</v>
      </c>
      <c r="D92" s="53">
        <v>819435.69</v>
      </c>
      <c r="E92" s="53">
        <v>392771.5</v>
      </c>
      <c r="F92" s="53">
        <v>1560789.75</v>
      </c>
      <c r="G92" s="53">
        <v>1874050.5</v>
      </c>
      <c r="H92" s="53">
        <v>9655868.4000000004</v>
      </c>
      <c r="I92" s="53">
        <v>226871.67</v>
      </c>
      <c r="J92" s="53">
        <v>9377.41</v>
      </c>
      <c r="K92" s="53">
        <v>907776.69</v>
      </c>
      <c r="L92" s="53">
        <v>1659001.5</v>
      </c>
      <c r="M92" s="53">
        <v>1852594.25</v>
      </c>
      <c r="N92" s="53">
        <v>218.49</v>
      </c>
      <c r="O92" s="53">
        <v>30370.41</v>
      </c>
      <c r="P92" s="53">
        <v>54422.57</v>
      </c>
      <c r="Q92" s="53">
        <v>95689.41</v>
      </c>
      <c r="R92" s="53">
        <v>114339.91</v>
      </c>
      <c r="S92" s="53">
        <v>109498.25</v>
      </c>
      <c r="T92" s="53">
        <v>56021.85</v>
      </c>
      <c r="U92" s="53">
        <v>62778.48</v>
      </c>
      <c r="V92" s="53">
        <v>37.909999999999997</v>
      </c>
      <c r="W92" s="53">
        <v>38.58</v>
      </c>
      <c r="X92" s="53">
        <v>157.4</v>
      </c>
      <c r="Y92" s="53">
        <v>161.52000000000001</v>
      </c>
      <c r="Z92" s="53">
        <v>85.57</v>
      </c>
      <c r="AA92" s="53">
        <v>90.74</v>
      </c>
      <c r="AB92" s="53">
        <v>361.38</v>
      </c>
      <c r="AC92" s="53">
        <v>-0.11</v>
      </c>
      <c r="AD92" s="53">
        <v>348.76</v>
      </c>
      <c r="AE92" s="53">
        <v>-0.88</v>
      </c>
      <c r="AF92" s="53">
        <v>63.34</v>
      </c>
      <c r="AG92" s="53">
        <v>-0.12</v>
      </c>
      <c r="AH92" s="53">
        <v>99.18</v>
      </c>
      <c r="AI92" s="53">
        <v>95.91</v>
      </c>
      <c r="AJ92" s="53">
        <v>103.21</v>
      </c>
      <c r="AK92" s="53">
        <v>48.49</v>
      </c>
      <c r="AL92" s="53">
        <v>42.94</v>
      </c>
      <c r="AM92" s="53">
        <v>40.9</v>
      </c>
      <c r="AN92" s="53">
        <v>41.16</v>
      </c>
      <c r="AO92" s="53">
        <v>38.81</v>
      </c>
      <c r="AP92" s="53">
        <v>9357.19</v>
      </c>
      <c r="AQ92" s="53">
        <v>6.72</v>
      </c>
      <c r="AR92" s="53">
        <v>6.72</v>
      </c>
      <c r="AS92" s="53">
        <v>6.68</v>
      </c>
      <c r="AT92" s="53">
        <v>6.72</v>
      </c>
      <c r="AU92" s="53">
        <v>1800.27</v>
      </c>
      <c r="AV92" s="53">
        <v>2189.02</v>
      </c>
      <c r="AW92" s="53">
        <v>592.9</v>
      </c>
      <c r="AX92" s="53">
        <v>423.88</v>
      </c>
      <c r="AY92" s="53">
        <v>1766.51</v>
      </c>
      <c r="AZ92" s="53">
        <v>1401.08</v>
      </c>
      <c r="BA92" s="53">
        <v>2805.35</v>
      </c>
      <c r="BB92" s="53">
        <v>2749.44</v>
      </c>
      <c r="BC92" s="53">
        <v>2394.48</v>
      </c>
      <c r="BD92" s="53">
        <v>2945.95</v>
      </c>
      <c r="BE92" s="53">
        <v>2862.34</v>
      </c>
      <c r="BF92" s="53">
        <v>2975.48</v>
      </c>
      <c r="BG92" s="53">
        <v>2847.46</v>
      </c>
      <c r="BH92" s="53">
        <v>1756.86</v>
      </c>
      <c r="BI92" s="53">
        <v>2345.5100000000002</v>
      </c>
      <c r="BJ92" s="53">
        <v>2794.93</v>
      </c>
      <c r="BK92" s="53">
        <v>2783.37</v>
      </c>
      <c r="BL92" s="53">
        <v>1814.52</v>
      </c>
      <c r="BM92" s="53">
        <v>2877.59</v>
      </c>
      <c r="BN92" s="53">
        <v>2836.71</v>
      </c>
    </row>
    <row r="93" spans="1:66" x14ac:dyDescent="0.2">
      <c r="A93" s="64" t="s">
        <v>202</v>
      </c>
      <c r="B93" s="53">
        <v>271.97000000000003</v>
      </c>
      <c r="C93" s="53">
        <v>684468.19</v>
      </c>
      <c r="D93" s="53">
        <v>819435.69</v>
      </c>
      <c r="E93" s="53">
        <v>392807.78</v>
      </c>
      <c r="F93" s="53">
        <v>1560846</v>
      </c>
      <c r="G93" s="53">
        <v>1874109.13</v>
      </c>
      <c r="H93" s="53">
        <v>9655934.7400000002</v>
      </c>
      <c r="I93" s="53">
        <v>226871.67</v>
      </c>
      <c r="J93" s="53">
        <v>9377.6299999999992</v>
      </c>
      <c r="K93" s="53">
        <v>907809.38</v>
      </c>
      <c r="L93" s="53">
        <v>1659055.38</v>
      </c>
      <c r="M93" s="53">
        <v>1852662.25</v>
      </c>
      <c r="N93" s="53">
        <v>218.49</v>
      </c>
      <c r="O93" s="53">
        <v>30370.41</v>
      </c>
      <c r="P93" s="53">
        <v>54425.21</v>
      </c>
      <c r="Q93" s="53">
        <v>95692.97</v>
      </c>
      <c r="R93" s="53">
        <v>114343.23</v>
      </c>
      <c r="S93" s="53">
        <v>109501.74</v>
      </c>
      <c r="T93" s="53">
        <v>56024.28</v>
      </c>
      <c r="U93" s="53">
        <v>62778.59</v>
      </c>
      <c r="V93" s="53">
        <v>37.770000000000003</v>
      </c>
      <c r="W93" s="53">
        <v>37.700000000000003</v>
      </c>
      <c r="X93" s="53">
        <v>153.41</v>
      </c>
      <c r="Y93" s="53">
        <v>157.32</v>
      </c>
      <c r="Z93" s="53">
        <v>85.51</v>
      </c>
      <c r="AA93" s="53">
        <v>90.76</v>
      </c>
      <c r="AB93" s="53">
        <v>363.44</v>
      </c>
      <c r="AC93" s="53">
        <v>-0.11</v>
      </c>
      <c r="AD93" s="53">
        <v>350.42</v>
      </c>
      <c r="AE93" s="53">
        <v>-0.88</v>
      </c>
      <c r="AF93" s="53">
        <v>63.59</v>
      </c>
      <c r="AG93" s="53">
        <v>-0.12</v>
      </c>
      <c r="AH93" s="53">
        <v>99.27</v>
      </c>
      <c r="AI93" s="53">
        <v>96.01</v>
      </c>
      <c r="AJ93" s="53">
        <v>103.38</v>
      </c>
      <c r="AK93" s="53">
        <v>48.5</v>
      </c>
      <c r="AL93" s="53">
        <v>42.98</v>
      </c>
      <c r="AM93" s="53">
        <v>40.71</v>
      </c>
      <c r="AN93" s="53">
        <v>41.2</v>
      </c>
      <c r="AO93" s="53">
        <v>38.72</v>
      </c>
      <c r="AP93" s="53">
        <v>9384.4699999999993</v>
      </c>
      <c r="AQ93" s="53">
        <v>6.72</v>
      </c>
      <c r="AR93" s="53">
        <v>6.72</v>
      </c>
      <c r="AS93" s="53">
        <v>6.68</v>
      </c>
      <c r="AT93" s="53">
        <v>6.72</v>
      </c>
      <c r="AU93" s="53">
        <v>1800.34</v>
      </c>
      <c r="AV93" s="53">
        <v>2189.02</v>
      </c>
      <c r="AW93" s="53">
        <v>592.98</v>
      </c>
      <c r="AX93" s="53">
        <v>423.88</v>
      </c>
      <c r="AY93" s="53">
        <v>1766.59</v>
      </c>
      <c r="AZ93" s="53">
        <v>1401.08</v>
      </c>
      <c r="BA93" s="53">
        <v>2805.43</v>
      </c>
      <c r="BB93" s="53">
        <v>2749.52</v>
      </c>
      <c r="BC93" s="53">
        <v>2394.56</v>
      </c>
      <c r="BD93" s="53">
        <v>2946.02</v>
      </c>
      <c r="BE93" s="53">
        <v>2862.42</v>
      </c>
      <c r="BF93" s="53">
        <v>2975.56</v>
      </c>
      <c r="BG93" s="53">
        <v>2847.54</v>
      </c>
      <c r="BH93" s="53">
        <v>1756.94</v>
      </c>
      <c r="BI93" s="53">
        <v>2345.59</v>
      </c>
      <c r="BJ93" s="53">
        <v>2795.01</v>
      </c>
      <c r="BK93" s="53">
        <v>2783.45</v>
      </c>
      <c r="BL93" s="53">
        <v>1814.6</v>
      </c>
      <c r="BM93" s="53">
        <v>2877.67</v>
      </c>
      <c r="BN93" s="53">
        <v>2836.78</v>
      </c>
    </row>
    <row r="94" spans="1:66" x14ac:dyDescent="0.2">
      <c r="A94" s="64" t="s">
        <v>203</v>
      </c>
      <c r="B94" s="53">
        <v>271.17</v>
      </c>
      <c r="C94" s="53">
        <v>684504.56</v>
      </c>
      <c r="D94" s="53">
        <v>819435.69</v>
      </c>
      <c r="E94" s="53">
        <v>392843.78</v>
      </c>
      <c r="F94" s="53">
        <v>1560902</v>
      </c>
      <c r="G94" s="53">
        <v>1874167.5</v>
      </c>
      <c r="H94" s="53">
        <v>9656000.9600000009</v>
      </c>
      <c r="I94" s="53">
        <v>226871.67</v>
      </c>
      <c r="J94" s="53">
        <v>9377.83</v>
      </c>
      <c r="K94" s="53">
        <v>907841.88</v>
      </c>
      <c r="L94" s="53">
        <v>1659109.13</v>
      </c>
      <c r="M94" s="53">
        <v>1852729.88</v>
      </c>
      <c r="N94" s="53">
        <v>218.49</v>
      </c>
      <c r="O94" s="53">
        <v>30370.41</v>
      </c>
      <c r="P94" s="53">
        <v>54428.15</v>
      </c>
      <c r="Q94" s="53">
        <v>95696.42</v>
      </c>
      <c r="R94" s="53">
        <v>114346.55</v>
      </c>
      <c r="S94" s="53">
        <v>109505.13</v>
      </c>
      <c r="T94" s="53">
        <v>56026.720000000001</v>
      </c>
      <c r="U94" s="53">
        <v>62778.59</v>
      </c>
      <c r="V94" s="53">
        <v>37.76</v>
      </c>
      <c r="W94" s="53">
        <v>37.71</v>
      </c>
      <c r="X94" s="53">
        <v>153.16</v>
      </c>
      <c r="Y94" s="53">
        <v>157.13</v>
      </c>
      <c r="Z94" s="53">
        <v>85.3</v>
      </c>
      <c r="AA94" s="53">
        <v>90.66</v>
      </c>
      <c r="AB94" s="53">
        <v>360.71</v>
      </c>
      <c r="AC94" s="53">
        <v>-0.11</v>
      </c>
      <c r="AD94" s="53">
        <v>347.89</v>
      </c>
      <c r="AE94" s="53">
        <v>-0.88</v>
      </c>
      <c r="AF94" s="53">
        <v>63.51</v>
      </c>
      <c r="AG94" s="53">
        <v>-0.12</v>
      </c>
      <c r="AH94" s="53">
        <v>99.34</v>
      </c>
      <c r="AI94" s="53">
        <v>96.06</v>
      </c>
      <c r="AJ94" s="53">
        <v>103.38</v>
      </c>
      <c r="AK94" s="53">
        <v>48.5</v>
      </c>
      <c r="AL94" s="53">
        <v>43.04</v>
      </c>
      <c r="AM94" s="53">
        <v>40.909999999999997</v>
      </c>
      <c r="AN94" s="53">
        <v>41.29</v>
      </c>
      <c r="AO94" s="53">
        <v>38.74</v>
      </c>
      <c r="AP94" s="53">
        <v>9335.9</v>
      </c>
      <c r="AQ94" s="53">
        <v>6.72</v>
      </c>
      <c r="AR94" s="53">
        <v>6.72</v>
      </c>
      <c r="AS94" s="53">
        <v>6.68</v>
      </c>
      <c r="AT94" s="53">
        <v>6.72</v>
      </c>
      <c r="AU94" s="53">
        <v>1800.43</v>
      </c>
      <c r="AV94" s="53">
        <v>2189.02</v>
      </c>
      <c r="AW94" s="53">
        <v>593.05999999999995</v>
      </c>
      <c r="AX94" s="53">
        <v>423.88</v>
      </c>
      <c r="AY94" s="53">
        <v>1766.67</v>
      </c>
      <c r="AZ94" s="53">
        <v>1401.08</v>
      </c>
      <c r="BA94" s="53">
        <v>2805.51</v>
      </c>
      <c r="BB94" s="53">
        <v>2749.6</v>
      </c>
      <c r="BC94" s="53">
        <v>2394.63</v>
      </c>
      <c r="BD94" s="53">
        <v>2946.11</v>
      </c>
      <c r="BE94" s="53">
        <v>2862.5</v>
      </c>
      <c r="BF94" s="53">
        <v>2975.64</v>
      </c>
      <c r="BG94" s="53">
        <v>2847.62</v>
      </c>
      <c r="BH94" s="53">
        <v>1757.02</v>
      </c>
      <c r="BI94" s="53">
        <v>2345.67</v>
      </c>
      <c r="BJ94" s="53">
        <v>2795.09</v>
      </c>
      <c r="BK94" s="53">
        <v>2783.53</v>
      </c>
      <c r="BL94" s="53">
        <v>1814.68</v>
      </c>
      <c r="BM94" s="53">
        <v>2877.75</v>
      </c>
      <c r="BN94" s="53">
        <v>2836.86</v>
      </c>
    </row>
    <row r="95" spans="1:66" x14ac:dyDescent="0.2">
      <c r="A95" s="64" t="s">
        <v>204</v>
      </c>
      <c r="B95" s="53">
        <v>273</v>
      </c>
      <c r="C95" s="53">
        <v>684540.94</v>
      </c>
      <c r="D95" s="53">
        <v>819435.69</v>
      </c>
      <c r="E95" s="53">
        <v>392880</v>
      </c>
      <c r="F95" s="53">
        <v>1560957.75</v>
      </c>
      <c r="G95" s="53">
        <v>1874225.75</v>
      </c>
      <c r="H95" s="53">
        <v>9656066.9600000009</v>
      </c>
      <c r="I95" s="53">
        <v>226871.67</v>
      </c>
      <c r="J95" s="53">
        <v>9378.1299999999992</v>
      </c>
      <c r="K95" s="53">
        <v>907874.56</v>
      </c>
      <c r="L95" s="53">
        <v>1659163</v>
      </c>
      <c r="M95" s="53">
        <v>1852797.5</v>
      </c>
      <c r="N95" s="53">
        <v>218.49</v>
      </c>
      <c r="O95" s="53">
        <v>30370.41</v>
      </c>
      <c r="P95" s="53">
        <v>54430.81</v>
      </c>
      <c r="Q95" s="53">
        <v>95699.88</v>
      </c>
      <c r="R95" s="53">
        <v>114349.98</v>
      </c>
      <c r="S95" s="53">
        <v>109508.52</v>
      </c>
      <c r="T95" s="53">
        <v>56029.17</v>
      </c>
      <c r="U95" s="53">
        <v>62778.59</v>
      </c>
      <c r="V95" s="53">
        <v>37.71</v>
      </c>
      <c r="W95" s="53">
        <v>37.619999999999997</v>
      </c>
      <c r="X95" s="53">
        <v>153.16999999999999</v>
      </c>
      <c r="Y95" s="53">
        <v>157.16</v>
      </c>
      <c r="Z95" s="53">
        <v>85.17</v>
      </c>
      <c r="AA95" s="53">
        <v>90.46</v>
      </c>
      <c r="AB95" s="53">
        <v>361.9</v>
      </c>
      <c r="AC95" s="53">
        <v>-0.11</v>
      </c>
      <c r="AD95" s="53">
        <v>349.23</v>
      </c>
      <c r="AE95" s="53">
        <v>-0.88</v>
      </c>
      <c r="AF95" s="53">
        <v>63.44</v>
      </c>
      <c r="AG95" s="53">
        <v>-0.12</v>
      </c>
      <c r="AH95" s="53">
        <v>99.36</v>
      </c>
      <c r="AI95" s="53">
        <v>95.99</v>
      </c>
      <c r="AJ95" s="53">
        <v>103.34</v>
      </c>
      <c r="AK95" s="53">
        <v>48.53</v>
      </c>
      <c r="AL95" s="53">
        <v>43.06</v>
      </c>
      <c r="AM95" s="53">
        <v>40.98</v>
      </c>
      <c r="AN95" s="53">
        <v>41.2</v>
      </c>
      <c r="AO95" s="53">
        <v>38.64</v>
      </c>
      <c r="AP95" s="53">
        <v>9375.2099999999991</v>
      </c>
      <c r="AQ95" s="53">
        <v>6.72</v>
      </c>
      <c r="AR95" s="53">
        <v>6.72</v>
      </c>
      <c r="AS95" s="53">
        <v>6.68</v>
      </c>
      <c r="AT95" s="53">
        <v>6.72</v>
      </c>
      <c r="AU95" s="53">
        <v>1800.52</v>
      </c>
      <c r="AV95" s="53">
        <v>2189.02</v>
      </c>
      <c r="AW95" s="53">
        <v>593.15</v>
      </c>
      <c r="AX95" s="53">
        <v>423.88</v>
      </c>
      <c r="AY95" s="53">
        <v>1766.76</v>
      </c>
      <c r="AZ95" s="53">
        <v>1401.08</v>
      </c>
      <c r="BA95" s="53">
        <v>2805.6</v>
      </c>
      <c r="BB95" s="53">
        <v>2749.69</v>
      </c>
      <c r="BC95" s="53">
        <v>2394.73</v>
      </c>
      <c r="BD95" s="53">
        <v>2946.19</v>
      </c>
      <c r="BE95" s="53">
        <v>2862.59</v>
      </c>
      <c r="BF95" s="53">
        <v>2975.73</v>
      </c>
      <c r="BG95" s="53">
        <v>2847.71</v>
      </c>
      <c r="BH95" s="53">
        <v>1757.11</v>
      </c>
      <c r="BI95" s="53">
        <v>2345.7600000000002</v>
      </c>
      <c r="BJ95" s="53">
        <v>2795.19</v>
      </c>
      <c r="BK95" s="53">
        <v>2783.62</v>
      </c>
      <c r="BL95" s="53">
        <v>1814.78</v>
      </c>
      <c r="BM95" s="53">
        <v>2877.85</v>
      </c>
      <c r="BN95" s="53">
        <v>2836.96</v>
      </c>
    </row>
    <row r="96" spans="1:66" x14ac:dyDescent="0.2">
      <c r="A96" s="64" t="s">
        <v>205</v>
      </c>
      <c r="B96" s="53">
        <v>273.02999999999997</v>
      </c>
      <c r="C96" s="53">
        <v>684577.5</v>
      </c>
      <c r="D96" s="53">
        <v>819435.69</v>
      </c>
      <c r="E96" s="53">
        <v>392916.28</v>
      </c>
      <c r="F96" s="53">
        <v>1561014</v>
      </c>
      <c r="G96" s="53">
        <v>1874284.5</v>
      </c>
      <c r="H96" s="53">
        <v>9656133.3900000006</v>
      </c>
      <c r="I96" s="53">
        <v>226871.67</v>
      </c>
      <c r="J96" s="53">
        <v>9378.3700000000008</v>
      </c>
      <c r="K96" s="53">
        <v>907907.31</v>
      </c>
      <c r="L96" s="53">
        <v>1659216.63</v>
      </c>
      <c r="M96" s="53">
        <v>1852865.5</v>
      </c>
      <c r="N96" s="53">
        <v>218.49</v>
      </c>
      <c r="O96" s="53">
        <v>30370.41</v>
      </c>
      <c r="P96" s="53">
        <v>54433.66</v>
      </c>
      <c r="Q96" s="53">
        <v>95703.43</v>
      </c>
      <c r="R96" s="53">
        <v>114353.3</v>
      </c>
      <c r="S96" s="53">
        <v>109512.01</v>
      </c>
      <c r="T96" s="53">
        <v>56031.7</v>
      </c>
      <c r="U96" s="53">
        <v>62778.67</v>
      </c>
      <c r="V96" s="53">
        <v>37.65</v>
      </c>
      <c r="W96" s="53">
        <v>37.58</v>
      </c>
      <c r="X96" s="53">
        <v>152.75</v>
      </c>
      <c r="Y96" s="53">
        <v>156.6</v>
      </c>
      <c r="Z96" s="53">
        <v>85.56</v>
      </c>
      <c r="AA96" s="53">
        <v>90.47</v>
      </c>
      <c r="AB96" s="53">
        <v>363.79</v>
      </c>
      <c r="AC96" s="53">
        <v>-0.11</v>
      </c>
      <c r="AD96" s="53">
        <v>351.03</v>
      </c>
      <c r="AE96" s="53">
        <v>-0.88</v>
      </c>
      <c r="AF96" s="53">
        <v>63.56</v>
      </c>
      <c r="AG96" s="53">
        <v>-0.12</v>
      </c>
      <c r="AH96" s="53">
        <v>99.21</v>
      </c>
      <c r="AI96" s="53">
        <v>95.83</v>
      </c>
      <c r="AJ96" s="53">
        <v>103.12</v>
      </c>
      <c r="AK96" s="53">
        <v>48.5</v>
      </c>
      <c r="AL96" s="53">
        <v>43.1</v>
      </c>
      <c r="AM96" s="53">
        <v>41.18</v>
      </c>
      <c r="AN96" s="53">
        <v>41.25</v>
      </c>
      <c r="AO96" s="53">
        <v>38.64</v>
      </c>
      <c r="AP96" s="53">
        <v>9390.42</v>
      </c>
      <c r="AQ96" s="53">
        <v>6.71</v>
      </c>
      <c r="AR96" s="53">
        <v>6.71</v>
      </c>
      <c r="AS96" s="53">
        <v>6.68</v>
      </c>
      <c r="AT96" s="53">
        <v>6.72</v>
      </c>
      <c r="AU96" s="53">
        <v>1800.61</v>
      </c>
      <c r="AV96" s="53">
        <v>2189.02</v>
      </c>
      <c r="AW96" s="53">
        <v>593.24</v>
      </c>
      <c r="AX96" s="53">
        <v>423.88</v>
      </c>
      <c r="AY96" s="53">
        <v>1766.85</v>
      </c>
      <c r="AZ96" s="53">
        <v>1401.08</v>
      </c>
      <c r="BA96" s="53">
        <v>2805.69</v>
      </c>
      <c r="BB96" s="53">
        <v>2749.78</v>
      </c>
      <c r="BC96" s="53">
        <v>2394.8200000000002</v>
      </c>
      <c r="BD96" s="53">
        <v>2946.29</v>
      </c>
      <c r="BE96" s="53">
        <v>2862.68</v>
      </c>
      <c r="BF96" s="53">
        <v>2975.83</v>
      </c>
      <c r="BG96" s="53">
        <v>2847.8</v>
      </c>
      <c r="BH96" s="53">
        <v>1757.2</v>
      </c>
      <c r="BI96" s="53">
        <v>2345.85</v>
      </c>
      <c r="BJ96" s="53">
        <v>2795.27</v>
      </c>
      <c r="BK96" s="53">
        <v>2783.71</v>
      </c>
      <c r="BL96" s="53">
        <v>1814.87</v>
      </c>
      <c r="BM96" s="53">
        <v>2877.93</v>
      </c>
      <c r="BN96" s="53">
        <v>2837.05</v>
      </c>
    </row>
    <row r="97" spans="1:66" x14ac:dyDescent="0.2">
      <c r="A97" s="64" t="s">
        <v>206</v>
      </c>
      <c r="B97" s="53">
        <v>272.44</v>
      </c>
      <c r="C97" s="53">
        <v>684614.19</v>
      </c>
      <c r="D97" s="53">
        <v>819435.69</v>
      </c>
      <c r="E97" s="53">
        <v>392952.66</v>
      </c>
      <c r="F97" s="53">
        <v>1561070.38</v>
      </c>
      <c r="G97" s="53">
        <v>1874343.25</v>
      </c>
      <c r="H97" s="53">
        <v>9656199.7899999991</v>
      </c>
      <c r="I97" s="53">
        <v>226871.67</v>
      </c>
      <c r="J97" s="53">
        <v>9378.58</v>
      </c>
      <c r="K97" s="53">
        <v>907940.06</v>
      </c>
      <c r="L97" s="53">
        <v>1659270.25</v>
      </c>
      <c r="M97" s="53">
        <v>1852933.75</v>
      </c>
      <c r="N97" s="53">
        <v>218.49</v>
      </c>
      <c r="O97" s="53">
        <v>30370.41</v>
      </c>
      <c r="P97" s="53">
        <v>54436.32</v>
      </c>
      <c r="Q97" s="53">
        <v>95706.880000000005</v>
      </c>
      <c r="R97" s="53">
        <v>114356.62</v>
      </c>
      <c r="S97" s="53">
        <v>109515.39</v>
      </c>
      <c r="T97" s="53">
        <v>56034.15</v>
      </c>
      <c r="U97" s="53">
        <v>62778.67</v>
      </c>
      <c r="V97" s="53">
        <v>37.630000000000003</v>
      </c>
      <c r="W97" s="53">
        <v>37.520000000000003</v>
      </c>
      <c r="X97" s="53">
        <v>152.03</v>
      </c>
      <c r="Y97" s="53">
        <v>156.13</v>
      </c>
      <c r="Z97" s="53">
        <v>86.04</v>
      </c>
      <c r="AA97" s="53">
        <v>90.37</v>
      </c>
      <c r="AB97" s="53">
        <v>364.67</v>
      </c>
      <c r="AC97" s="53">
        <v>-0.11</v>
      </c>
      <c r="AD97" s="53">
        <v>351.22</v>
      </c>
      <c r="AE97" s="53">
        <v>-0.88</v>
      </c>
      <c r="AF97" s="53">
        <v>63.5</v>
      </c>
      <c r="AG97" s="53">
        <v>-0.12</v>
      </c>
      <c r="AH97" s="53">
        <v>99</v>
      </c>
      <c r="AI97" s="53">
        <v>95.72</v>
      </c>
      <c r="AJ97" s="53">
        <v>102.96</v>
      </c>
      <c r="AK97" s="53">
        <v>48.45</v>
      </c>
      <c r="AL97" s="53">
        <v>43.23</v>
      </c>
      <c r="AM97" s="53">
        <v>41.21</v>
      </c>
      <c r="AN97" s="53">
        <v>41.33</v>
      </c>
      <c r="AO97" s="53">
        <v>38.68</v>
      </c>
      <c r="AP97" s="53">
        <v>9402.0400000000009</v>
      </c>
      <c r="AQ97" s="53">
        <v>6.71</v>
      </c>
      <c r="AR97" s="53">
        <v>6.71</v>
      </c>
      <c r="AS97" s="53">
        <v>6.68</v>
      </c>
      <c r="AT97" s="53">
        <v>6.72</v>
      </c>
      <c r="AU97" s="53">
        <v>1800.69</v>
      </c>
      <c r="AV97" s="53">
        <v>2189.02</v>
      </c>
      <c r="AW97" s="53">
        <v>593.32000000000005</v>
      </c>
      <c r="AX97" s="53">
        <v>423.88</v>
      </c>
      <c r="AY97" s="53">
        <v>1766.93</v>
      </c>
      <c r="AZ97" s="53">
        <v>1401.08</v>
      </c>
      <c r="BA97" s="53">
        <v>2805.77</v>
      </c>
      <c r="BB97" s="53">
        <v>2749.86</v>
      </c>
      <c r="BC97" s="53">
        <v>2394.9</v>
      </c>
      <c r="BD97" s="53">
        <v>2946.37</v>
      </c>
      <c r="BE97" s="53">
        <v>2862.76</v>
      </c>
      <c r="BF97" s="53">
        <v>2975.91</v>
      </c>
      <c r="BG97" s="53">
        <v>2847.88</v>
      </c>
      <c r="BH97" s="53">
        <v>1757.28</v>
      </c>
      <c r="BI97" s="53">
        <v>2345.9299999999998</v>
      </c>
      <c r="BJ97" s="53">
        <v>2795.35</v>
      </c>
      <c r="BK97" s="53">
        <v>2783.79</v>
      </c>
      <c r="BL97" s="53">
        <v>1814.95</v>
      </c>
      <c r="BM97" s="53">
        <v>2878.01</v>
      </c>
      <c r="BN97" s="53">
        <v>2837.13</v>
      </c>
    </row>
    <row r="98" spans="1:66" x14ac:dyDescent="0.2">
      <c r="A98" s="64" t="s">
        <v>207</v>
      </c>
      <c r="B98" s="53">
        <v>273.08999999999997</v>
      </c>
      <c r="C98" s="53">
        <v>684650.56</v>
      </c>
      <c r="D98" s="53">
        <v>819435.69</v>
      </c>
      <c r="E98" s="53">
        <v>392988.81</v>
      </c>
      <c r="F98" s="53">
        <v>1561126.38</v>
      </c>
      <c r="G98" s="53">
        <v>1874401.75</v>
      </c>
      <c r="H98" s="53">
        <v>9656266.1099999994</v>
      </c>
      <c r="I98" s="53">
        <v>226871.67</v>
      </c>
      <c r="J98" s="53">
        <v>9378.7800000000007</v>
      </c>
      <c r="K98" s="53">
        <v>907972.75</v>
      </c>
      <c r="L98" s="53">
        <v>1659323.75</v>
      </c>
      <c r="M98" s="53">
        <v>1853001.5</v>
      </c>
      <c r="N98" s="53">
        <v>218.49</v>
      </c>
      <c r="O98" s="53">
        <v>30370.41</v>
      </c>
      <c r="P98" s="53">
        <v>54439.07</v>
      </c>
      <c r="Q98" s="53">
        <v>95710.34</v>
      </c>
      <c r="R98" s="53">
        <v>114360.05</v>
      </c>
      <c r="S98" s="53">
        <v>109518.77</v>
      </c>
      <c r="T98" s="53">
        <v>56036.59</v>
      </c>
      <c r="U98" s="53">
        <v>62779.11</v>
      </c>
      <c r="V98" s="53">
        <v>37.630000000000003</v>
      </c>
      <c r="W98" s="53">
        <v>37.520000000000003</v>
      </c>
      <c r="X98" s="53">
        <v>152.55000000000001</v>
      </c>
      <c r="Y98" s="53">
        <v>156.5</v>
      </c>
      <c r="Z98" s="53">
        <v>85.93</v>
      </c>
      <c r="AA98" s="53">
        <v>90.36</v>
      </c>
      <c r="AB98" s="53">
        <v>361.88</v>
      </c>
      <c r="AC98" s="53">
        <v>-0.11</v>
      </c>
      <c r="AD98" s="53">
        <v>349.12</v>
      </c>
      <c r="AE98" s="53">
        <v>-0.88</v>
      </c>
      <c r="AF98" s="53">
        <v>63.49</v>
      </c>
      <c r="AG98" s="53">
        <v>-0.12</v>
      </c>
      <c r="AH98" s="53">
        <v>99.19</v>
      </c>
      <c r="AI98" s="53">
        <v>95.93</v>
      </c>
      <c r="AJ98" s="53">
        <v>103.31</v>
      </c>
      <c r="AK98" s="53">
        <v>48.47</v>
      </c>
      <c r="AL98" s="53">
        <v>43.27</v>
      </c>
      <c r="AM98" s="53">
        <v>41.27</v>
      </c>
      <c r="AN98" s="53">
        <v>41.3</v>
      </c>
      <c r="AO98" s="53">
        <v>38.590000000000003</v>
      </c>
      <c r="AP98" s="53">
        <v>9369.25</v>
      </c>
      <c r="AQ98" s="53">
        <v>6.71</v>
      </c>
      <c r="AR98" s="53">
        <v>6.71</v>
      </c>
      <c r="AS98" s="53">
        <v>6.68</v>
      </c>
      <c r="AT98" s="53">
        <v>6.72</v>
      </c>
      <c r="AU98" s="53">
        <v>1800.77</v>
      </c>
      <c r="AV98" s="53">
        <v>2189.02</v>
      </c>
      <c r="AW98" s="53">
        <v>593.4</v>
      </c>
      <c r="AX98" s="53">
        <v>423.88</v>
      </c>
      <c r="AY98" s="53">
        <v>1767.01</v>
      </c>
      <c r="AZ98" s="53">
        <v>1401.08</v>
      </c>
      <c r="BA98" s="53">
        <v>2805.85</v>
      </c>
      <c r="BB98" s="53">
        <v>2749.94</v>
      </c>
      <c r="BC98" s="53">
        <v>2394.98</v>
      </c>
      <c r="BD98" s="53">
        <v>2946.45</v>
      </c>
      <c r="BE98" s="53">
        <v>2862.84</v>
      </c>
      <c r="BF98" s="53">
        <v>2975.99</v>
      </c>
      <c r="BG98" s="53">
        <v>2847.96</v>
      </c>
      <c r="BH98" s="53">
        <v>1757.36</v>
      </c>
      <c r="BI98" s="53">
        <v>2346.0100000000002</v>
      </c>
      <c r="BJ98" s="53">
        <v>2795.43</v>
      </c>
      <c r="BK98" s="53">
        <v>2783.87</v>
      </c>
      <c r="BL98" s="53">
        <v>1815.03</v>
      </c>
      <c r="BM98" s="53">
        <v>2878.09</v>
      </c>
      <c r="BN98" s="53">
        <v>2837.21</v>
      </c>
    </row>
    <row r="99" spans="1:66" x14ac:dyDescent="0.2">
      <c r="A99" s="64" t="s">
        <v>208</v>
      </c>
      <c r="B99" s="53">
        <v>274.14999999999998</v>
      </c>
      <c r="C99" s="53">
        <v>684687.25</v>
      </c>
      <c r="D99" s="53">
        <v>819435.69</v>
      </c>
      <c r="E99" s="53">
        <v>393025.22</v>
      </c>
      <c r="F99" s="53">
        <v>1561182.75</v>
      </c>
      <c r="G99" s="53">
        <v>1874460.5</v>
      </c>
      <c r="H99" s="53">
        <v>9656332.5099999998</v>
      </c>
      <c r="I99" s="53">
        <v>226871.67</v>
      </c>
      <c r="J99" s="53">
        <v>9379.08</v>
      </c>
      <c r="K99" s="53">
        <v>908005.38</v>
      </c>
      <c r="L99" s="53">
        <v>1659377.13</v>
      </c>
      <c r="M99" s="53">
        <v>1853069.75</v>
      </c>
      <c r="N99" s="53">
        <v>218.49</v>
      </c>
      <c r="O99" s="53">
        <v>30370.41</v>
      </c>
      <c r="P99" s="53">
        <v>54442</v>
      </c>
      <c r="Q99" s="53">
        <v>95713.89</v>
      </c>
      <c r="R99" s="53">
        <v>114363.37</v>
      </c>
      <c r="S99" s="53">
        <v>109522.27</v>
      </c>
      <c r="T99" s="53">
        <v>56039.01</v>
      </c>
      <c r="U99" s="53">
        <v>62779.32</v>
      </c>
      <c r="V99" s="53">
        <v>37.58</v>
      </c>
      <c r="W99" s="53">
        <v>37.47</v>
      </c>
      <c r="X99" s="53">
        <v>151.81</v>
      </c>
      <c r="Y99" s="53">
        <v>156.41999999999999</v>
      </c>
      <c r="Z99" s="53">
        <v>85.39</v>
      </c>
      <c r="AA99" s="53">
        <v>90.02</v>
      </c>
      <c r="AB99" s="53">
        <v>365.78</v>
      </c>
      <c r="AC99" s="53">
        <v>-0.11</v>
      </c>
      <c r="AD99" s="53">
        <v>352.58</v>
      </c>
      <c r="AE99" s="53">
        <v>-0.88</v>
      </c>
      <c r="AF99" s="53">
        <v>63.54</v>
      </c>
      <c r="AG99" s="53">
        <v>-0.12</v>
      </c>
      <c r="AH99" s="53">
        <v>99.04</v>
      </c>
      <c r="AI99" s="53">
        <v>95.94</v>
      </c>
      <c r="AJ99" s="53">
        <v>103.33</v>
      </c>
      <c r="AK99" s="53">
        <v>48.47</v>
      </c>
      <c r="AL99" s="53">
        <v>43.39</v>
      </c>
      <c r="AM99" s="53">
        <v>41.4</v>
      </c>
      <c r="AN99" s="53">
        <v>41.29</v>
      </c>
      <c r="AO99" s="53">
        <v>38.46</v>
      </c>
      <c r="AP99" s="53">
        <v>9463.34</v>
      </c>
      <c r="AQ99" s="53">
        <v>6.71</v>
      </c>
      <c r="AR99" s="53">
        <v>6.71</v>
      </c>
      <c r="AS99" s="53">
        <v>6.68</v>
      </c>
      <c r="AT99" s="53">
        <v>6.72</v>
      </c>
      <c r="AU99" s="53">
        <v>1800.85</v>
      </c>
      <c r="AV99" s="53">
        <v>2189.02</v>
      </c>
      <c r="AW99" s="53">
        <v>593.48</v>
      </c>
      <c r="AX99" s="53">
        <v>423.88</v>
      </c>
      <c r="AY99" s="53">
        <v>1767.09</v>
      </c>
      <c r="AZ99" s="53">
        <v>1401.08</v>
      </c>
      <c r="BA99" s="53">
        <v>2805.93</v>
      </c>
      <c r="BB99" s="53">
        <v>2750.02</v>
      </c>
      <c r="BC99" s="53">
        <v>2395.06</v>
      </c>
      <c r="BD99" s="53">
        <v>2946.53</v>
      </c>
      <c r="BE99" s="53">
        <v>2862.92</v>
      </c>
      <c r="BF99" s="53">
        <v>2976.06</v>
      </c>
      <c r="BG99" s="53">
        <v>2848.04</v>
      </c>
      <c r="BH99" s="53">
        <v>1757.44</v>
      </c>
      <c r="BI99" s="53">
        <v>2346.09</v>
      </c>
      <c r="BJ99" s="53">
        <v>2795.51</v>
      </c>
      <c r="BK99" s="53">
        <v>2783.95</v>
      </c>
      <c r="BL99" s="53">
        <v>1815.11</v>
      </c>
      <c r="BM99" s="53">
        <v>2878.17</v>
      </c>
      <c r="BN99" s="53">
        <v>2837.29</v>
      </c>
    </row>
    <row r="100" spans="1:66" x14ac:dyDescent="0.2">
      <c r="A100" s="64" t="s">
        <v>209</v>
      </c>
      <c r="B100" s="53">
        <v>270.33</v>
      </c>
      <c r="C100" s="53">
        <v>684723.94</v>
      </c>
      <c r="D100" s="53">
        <v>819435.69</v>
      </c>
      <c r="E100" s="53">
        <v>393061.53</v>
      </c>
      <c r="F100" s="53">
        <v>1561239.38</v>
      </c>
      <c r="G100" s="53">
        <v>1874519.5</v>
      </c>
      <c r="H100" s="53">
        <v>9656399.1400000006</v>
      </c>
      <c r="I100" s="53">
        <v>226871.67</v>
      </c>
      <c r="J100" s="53">
        <v>9379.2900000000009</v>
      </c>
      <c r="K100" s="53">
        <v>908037.81</v>
      </c>
      <c r="L100" s="53">
        <v>1659430.5</v>
      </c>
      <c r="M100" s="53">
        <v>1853138</v>
      </c>
      <c r="N100" s="53">
        <v>218.49</v>
      </c>
      <c r="O100" s="53">
        <v>30370.41</v>
      </c>
      <c r="P100" s="53">
        <v>54444.71</v>
      </c>
      <c r="Q100" s="53">
        <v>95717.34</v>
      </c>
      <c r="R100" s="53">
        <v>114366.68</v>
      </c>
      <c r="S100" s="53">
        <v>109525.66</v>
      </c>
      <c r="T100" s="53">
        <v>56041.37</v>
      </c>
      <c r="U100" s="53">
        <v>62779.32</v>
      </c>
      <c r="V100" s="53">
        <v>37.54</v>
      </c>
      <c r="W100" s="53">
        <v>37.43</v>
      </c>
      <c r="X100" s="53">
        <v>152.08000000000001</v>
      </c>
      <c r="Y100" s="53">
        <v>156.28</v>
      </c>
      <c r="Z100" s="53">
        <v>85.32</v>
      </c>
      <c r="AA100" s="53">
        <v>89.88</v>
      </c>
      <c r="AB100" s="53">
        <v>364.31</v>
      </c>
      <c r="AC100" s="53">
        <v>-0.11</v>
      </c>
      <c r="AD100" s="53">
        <v>350.7</v>
      </c>
      <c r="AE100" s="53">
        <v>-0.88</v>
      </c>
      <c r="AF100" s="53">
        <v>63.63</v>
      </c>
      <c r="AG100" s="53">
        <v>-0.12</v>
      </c>
      <c r="AH100" s="53">
        <v>98.99</v>
      </c>
      <c r="AI100" s="53">
        <v>95.89</v>
      </c>
      <c r="AJ100" s="53">
        <v>103.32</v>
      </c>
      <c r="AK100" s="53">
        <v>48.34</v>
      </c>
      <c r="AL100" s="53">
        <v>43.27</v>
      </c>
      <c r="AM100" s="53">
        <v>41.39</v>
      </c>
      <c r="AN100" s="53">
        <v>41.22</v>
      </c>
      <c r="AO100" s="53">
        <v>38.049999999999997</v>
      </c>
      <c r="AP100" s="53">
        <v>9409.82</v>
      </c>
      <c r="AQ100" s="53">
        <v>6.71</v>
      </c>
      <c r="AR100" s="53">
        <v>6.71</v>
      </c>
      <c r="AS100" s="53">
        <v>6.68</v>
      </c>
      <c r="AT100" s="53">
        <v>6.72</v>
      </c>
      <c r="AU100" s="53">
        <v>1800.93</v>
      </c>
      <c r="AV100" s="53">
        <v>2189.02</v>
      </c>
      <c r="AW100" s="53">
        <v>593.55999999999995</v>
      </c>
      <c r="AX100" s="53">
        <v>423.88</v>
      </c>
      <c r="AY100" s="53">
        <v>1767.17</v>
      </c>
      <c r="AZ100" s="53">
        <v>1401.08</v>
      </c>
      <c r="BA100" s="53">
        <v>2806.01</v>
      </c>
      <c r="BB100" s="53">
        <v>2750.1</v>
      </c>
      <c r="BC100" s="53">
        <v>2395.14</v>
      </c>
      <c r="BD100" s="53">
        <v>2946.61</v>
      </c>
      <c r="BE100" s="53">
        <v>2863</v>
      </c>
      <c r="BF100" s="53">
        <v>2976.14</v>
      </c>
      <c r="BG100" s="53">
        <v>2848.12</v>
      </c>
      <c r="BH100" s="53">
        <v>1757.52</v>
      </c>
      <c r="BI100" s="53">
        <v>2346.17</v>
      </c>
      <c r="BJ100" s="53">
        <v>2795.59</v>
      </c>
      <c r="BK100" s="53">
        <v>2784.03</v>
      </c>
      <c r="BL100" s="53">
        <v>1815.19</v>
      </c>
      <c r="BM100" s="53">
        <v>2878.25</v>
      </c>
      <c r="BN100" s="53">
        <v>2837.37</v>
      </c>
    </row>
    <row r="101" spans="1:66" x14ac:dyDescent="0.2">
      <c r="A101" s="64" t="s">
        <v>210</v>
      </c>
      <c r="B101" s="53">
        <v>268.22000000000003</v>
      </c>
      <c r="C101" s="53">
        <v>684760.13</v>
      </c>
      <c r="D101" s="53">
        <v>819435.69</v>
      </c>
      <c r="E101" s="53">
        <v>393097.53</v>
      </c>
      <c r="F101" s="53">
        <v>1561295</v>
      </c>
      <c r="G101" s="53">
        <v>1874577.63</v>
      </c>
      <c r="H101" s="53">
        <v>9656465</v>
      </c>
      <c r="I101" s="53">
        <v>226871.67</v>
      </c>
      <c r="J101" s="53">
        <v>9379.5</v>
      </c>
      <c r="K101" s="53">
        <v>908070.06</v>
      </c>
      <c r="L101" s="53">
        <v>1659483.75</v>
      </c>
      <c r="M101" s="53">
        <v>1853205.25</v>
      </c>
      <c r="N101" s="53">
        <v>218.49</v>
      </c>
      <c r="O101" s="53">
        <v>30370.41</v>
      </c>
      <c r="P101" s="53">
        <v>54447.360000000001</v>
      </c>
      <c r="Q101" s="53">
        <v>95720.83</v>
      </c>
      <c r="R101" s="53">
        <v>114370.09</v>
      </c>
      <c r="S101" s="53">
        <v>109529.04</v>
      </c>
      <c r="T101" s="53">
        <v>56043.72</v>
      </c>
      <c r="U101" s="53">
        <v>62779.42</v>
      </c>
      <c r="V101" s="53">
        <v>37.520000000000003</v>
      </c>
      <c r="W101" s="53">
        <v>37.39</v>
      </c>
      <c r="X101" s="53">
        <v>152.08000000000001</v>
      </c>
      <c r="Y101" s="53">
        <v>156.13</v>
      </c>
      <c r="Z101" s="53">
        <v>84.95</v>
      </c>
      <c r="AA101" s="53">
        <v>89.58</v>
      </c>
      <c r="AB101" s="53">
        <v>355.25</v>
      </c>
      <c r="AC101" s="53">
        <v>-0.11</v>
      </c>
      <c r="AD101" s="53">
        <v>343.14</v>
      </c>
      <c r="AE101" s="53">
        <v>-0.88</v>
      </c>
      <c r="AF101" s="53">
        <v>63.19</v>
      </c>
      <c r="AG101" s="53">
        <v>-0.12</v>
      </c>
      <c r="AH101" s="53">
        <v>99.07</v>
      </c>
      <c r="AI101" s="53">
        <v>95.93</v>
      </c>
      <c r="AJ101" s="53">
        <v>103.38</v>
      </c>
      <c r="AK101" s="53">
        <v>48.66</v>
      </c>
      <c r="AL101" s="53">
        <v>43.45</v>
      </c>
      <c r="AM101" s="53">
        <v>41.53</v>
      </c>
      <c r="AN101" s="53">
        <v>41.25</v>
      </c>
      <c r="AO101" s="53">
        <v>38.090000000000003</v>
      </c>
      <c r="AP101" s="53">
        <v>9290.5</v>
      </c>
      <c r="AQ101" s="53">
        <v>6.71</v>
      </c>
      <c r="AR101" s="53">
        <v>6.71</v>
      </c>
      <c r="AS101" s="53">
        <v>6.68</v>
      </c>
      <c r="AT101" s="53">
        <v>6.72</v>
      </c>
      <c r="AU101" s="53">
        <v>1801.01</v>
      </c>
      <c r="AV101" s="53">
        <v>2189.02</v>
      </c>
      <c r="AW101" s="53">
        <v>593.65</v>
      </c>
      <c r="AX101" s="53">
        <v>423.88</v>
      </c>
      <c r="AY101" s="53">
        <v>1767.26</v>
      </c>
      <c r="AZ101" s="53">
        <v>1401.08</v>
      </c>
      <c r="BA101" s="53">
        <v>2806.09</v>
      </c>
      <c r="BB101" s="53">
        <v>2750.18</v>
      </c>
      <c r="BC101" s="53">
        <v>2395.2199999999998</v>
      </c>
      <c r="BD101" s="53">
        <v>2946.69</v>
      </c>
      <c r="BE101" s="53">
        <v>2863.08</v>
      </c>
      <c r="BF101" s="53">
        <v>2976.23</v>
      </c>
      <c r="BG101" s="53">
        <v>2848.2</v>
      </c>
      <c r="BH101" s="53">
        <v>1757.61</v>
      </c>
      <c r="BI101" s="53">
        <v>2346.25</v>
      </c>
      <c r="BJ101" s="53">
        <v>2795.68</v>
      </c>
      <c r="BK101" s="53">
        <v>2784.12</v>
      </c>
      <c r="BL101" s="53">
        <v>1815.27</v>
      </c>
      <c r="BM101" s="53">
        <v>2878.34</v>
      </c>
      <c r="BN101" s="53">
        <v>2837.45</v>
      </c>
    </row>
    <row r="102" spans="1:66" x14ac:dyDescent="0.2">
      <c r="A102" s="64" t="s">
        <v>211</v>
      </c>
      <c r="B102" s="53">
        <v>271.31</v>
      </c>
      <c r="C102" s="53">
        <v>684796.19</v>
      </c>
      <c r="D102" s="53">
        <v>819435.69</v>
      </c>
      <c r="E102" s="53">
        <v>393133.22</v>
      </c>
      <c r="F102" s="53">
        <v>1561350.25</v>
      </c>
      <c r="G102" s="53">
        <v>1874635.25</v>
      </c>
      <c r="H102" s="53">
        <v>9656530.4600000009</v>
      </c>
      <c r="I102" s="53">
        <v>226871.67</v>
      </c>
      <c r="J102" s="53">
        <v>9379.81</v>
      </c>
      <c r="K102" s="53">
        <v>908102.38</v>
      </c>
      <c r="L102" s="53">
        <v>1659536.88</v>
      </c>
      <c r="M102" s="53">
        <v>1853272.25</v>
      </c>
      <c r="N102" s="53">
        <v>218.49</v>
      </c>
      <c r="O102" s="53">
        <v>30370.41</v>
      </c>
      <c r="P102" s="53">
        <v>54450.15</v>
      </c>
      <c r="Q102" s="53">
        <v>95724.47</v>
      </c>
      <c r="R102" s="53">
        <v>114373.48</v>
      </c>
      <c r="S102" s="53">
        <v>109532.53</v>
      </c>
      <c r="T102" s="53">
        <v>56046.05</v>
      </c>
      <c r="U102" s="53">
        <v>62779.73</v>
      </c>
      <c r="V102" s="53">
        <v>37.46</v>
      </c>
      <c r="W102" s="53">
        <v>37.35</v>
      </c>
      <c r="X102" s="53">
        <v>151.41999999999999</v>
      </c>
      <c r="Y102" s="53">
        <v>155.72999999999999</v>
      </c>
      <c r="Z102" s="53">
        <v>84.75</v>
      </c>
      <c r="AA102" s="53">
        <v>89.39</v>
      </c>
      <c r="AB102" s="53">
        <v>355.76</v>
      </c>
      <c r="AC102" s="53">
        <v>-0.11</v>
      </c>
      <c r="AD102" s="53">
        <v>343.67</v>
      </c>
      <c r="AE102" s="53">
        <v>-0.88</v>
      </c>
      <c r="AF102" s="53">
        <v>62.88</v>
      </c>
      <c r="AG102" s="53">
        <v>-0.12</v>
      </c>
      <c r="AH102" s="53">
        <v>98.97</v>
      </c>
      <c r="AI102" s="53">
        <v>95.65</v>
      </c>
      <c r="AJ102" s="53">
        <v>103.06</v>
      </c>
      <c r="AK102" s="53">
        <v>48.78</v>
      </c>
      <c r="AL102" s="53">
        <v>43.52</v>
      </c>
      <c r="AM102" s="53">
        <v>42.01</v>
      </c>
      <c r="AN102" s="53">
        <v>41.18</v>
      </c>
      <c r="AO102" s="53">
        <v>38.130000000000003</v>
      </c>
      <c r="AP102" s="53">
        <v>9315.58</v>
      </c>
      <c r="AQ102" s="53">
        <v>6.71</v>
      </c>
      <c r="AR102" s="53">
        <v>6.71</v>
      </c>
      <c r="AS102" s="53">
        <v>6.68</v>
      </c>
      <c r="AT102" s="53">
        <v>6.72</v>
      </c>
      <c r="AU102" s="53">
        <v>1801.11</v>
      </c>
      <c r="AV102" s="53">
        <v>2189.02</v>
      </c>
      <c r="AW102" s="53">
        <v>593.74</v>
      </c>
      <c r="AX102" s="53">
        <v>423.88</v>
      </c>
      <c r="AY102" s="53">
        <v>1767.35</v>
      </c>
      <c r="AZ102" s="53">
        <v>1401.08</v>
      </c>
      <c r="BA102" s="53">
        <v>2806.19</v>
      </c>
      <c r="BB102" s="53">
        <v>2750.28</v>
      </c>
      <c r="BC102" s="53">
        <v>2395.3200000000002</v>
      </c>
      <c r="BD102" s="53">
        <v>2946.79</v>
      </c>
      <c r="BE102" s="53">
        <v>2863.18</v>
      </c>
      <c r="BF102" s="53">
        <v>2976.33</v>
      </c>
      <c r="BG102" s="53">
        <v>2848.3</v>
      </c>
      <c r="BH102" s="53">
        <v>1757.7</v>
      </c>
      <c r="BI102" s="53">
        <v>2346.35</v>
      </c>
      <c r="BJ102" s="53">
        <v>2795.77</v>
      </c>
      <c r="BK102" s="53">
        <v>2784.21</v>
      </c>
      <c r="BL102" s="53">
        <v>1815.37</v>
      </c>
      <c r="BM102" s="53">
        <v>2878.43</v>
      </c>
      <c r="BN102" s="53">
        <v>2837.55</v>
      </c>
    </row>
    <row r="103" spans="1:66" x14ac:dyDescent="0.2">
      <c r="A103" s="64" t="s">
        <v>212</v>
      </c>
      <c r="B103" s="53">
        <v>270.35000000000002</v>
      </c>
      <c r="C103" s="53">
        <v>684832.63</v>
      </c>
      <c r="D103" s="53">
        <v>819435.69</v>
      </c>
      <c r="E103" s="53">
        <v>393169.34</v>
      </c>
      <c r="F103" s="53">
        <v>1561406.25</v>
      </c>
      <c r="G103" s="53">
        <v>1874693.75</v>
      </c>
      <c r="H103" s="53">
        <v>9656596.3200000003</v>
      </c>
      <c r="I103" s="53">
        <v>226871.67</v>
      </c>
      <c r="J103" s="53">
        <v>9380.3700000000008</v>
      </c>
      <c r="K103" s="53">
        <v>908134.56</v>
      </c>
      <c r="L103" s="53">
        <v>1659590.13</v>
      </c>
      <c r="M103" s="53">
        <v>1853340</v>
      </c>
      <c r="N103" s="53">
        <v>218.49</v>
      </c>
      <c r="O103" s="53">
        <v>30370.41</v>
      </c>
      <c r="P103" s="53">
        <v>54452.83</v>
      </c>
      <c r="Q103" s="53">
        <v>95728.09</v>
      </c>
      <c r="R103" s="53">
        <v>114376.84</v>
      </c>
      <c r="S103" s="53">
        <v>109535.92</v>
      </c>
      <c r="T103" s="53">
        <v>56048.38</v>
      </c>
      <c r="U103" s="53">
        <v>62779.73</v>
      </c>
      <c r="V103" s="53">
        <v>37.43</v>
      </c>
      <c r="W103" s="53">
        <v>37.31</v>
      </c>
      <c r="X103" s="53">
        <v>151.19999999999999</v>
      </c>
      <c r="Y103" s="53">
        <v>155.37</v>
      </c>
      <c r="Z103" s="53">
        <v>84.6</v>
      </c>
      <c r="AA103" s="53">
        <v>89.28</v>
      </c>
      <c r="AB103" s="53">
        <v>359.61</v>
      </c>
      <c r="AC103" s="53">
        <v>-0.11</v>
      </c>
      <c r="AD103" s="53">
        <v>346.62</v>
      </c>
      <c r="AE103" s="53">
        <v>-0.88</v>
      </c>
      <c r="AF103" s="53">
        <v>63.29</v>
      </c>
      <c r="AG103" s="53">
        <v>-0.12</v>
      </c>
      <c r="AH103" s="53">
        <v>98.89</v>
      </c>
      <c r="AI103" s="53">
        <v>95.57</v>
      </c>
      <c r="AJ103" s="53">
        <v>102.97</v>
      </c>
      <c r="AK103" s="53">
        <v>48.21</v>
      </c>
      <c r="AL103" s="53">
        <v>43.49</v>
      </c>
      <c r="AM103" s="53">
        <v>42.01</v>
      </c>
      <c r="AN103" s="53">
        <v>41.33</v>
      </c>
      <c r="AO103" s="53">
        <v>37.85</v>
      </c>
      <c r="AP103" s="53">
        <v>9330.4500000000007</v>
      </c>
      <c r="AQ103" s="53">
        <v>6.71</v>
      </c>
      <c r="AR103" s="53">
        <v>6.71</v>
      </c>
      <c r="AS103" s="53">
        <v>6.68</v>
      </c>
      <c r="AT103" s="53">
        <v>6.72</v>
      </c>
      <c r="AU103" s="53">
        <v>1801.19</v>
      </c>
      <c r="AV103" s="53">
        <v>2189.02</v>
      </c>
      <c r="AW103" s="53">
        <v>593.82000000000005</v>
      </c>
      <c r="AX103" s="53">
        <v>423.88</v>
      </c>
      <c r="AY103" s="53">
        <v>1767.43</v>
      </c>
      <c r="AZ103" s="53">
        <v>1401.08</v>
      </c>
      <c r="BA103" s="53">
        <v>2806.27</v>
      </c>
      <c r="BB103" s="53">
        <v>2750.36</v>
      </c>
      <c r="BC103" s="53">
        <v>2395.4</v>
      </c>
      <c r="BD103" s="53">
        <v>2946.87</v>
      </c>
      <c r="BE103" s="53">
        <v>2863.26</v>
      </c>
      <c r="BF103" s="53">
        <v>2976.4</v>
      </c>
      <c r="BG103" s="53">
        <v>2848.38</v>
      </c>
      <c r="BH103" s="53">
        <v>1757.78</v>
      </c>
      <c r="BI103" s="53">
        <v>2346.4299999999998</v>
      </c>
      <c r="BJ103" s="53">
        <v>2795.85</v>
      </c>
      <c r="BK103" s="53">
        <v>2784.29</v>
      </c>
      <c r="BL103" s="53">
        <v>1815.45</v>
      </c>
      <c r="BM103" s="53">
        <v>2878.51</v>
      </c>
      <c r="BN103" s="53">
        <v>2837.63</v>
      </c>
    </row>
    <row r="104" spans="1:66" x14ac:dyDescent="0.2">
      <c r="A104" s="64" t="s">
        <v>213</v>
      </c>
      <c r="B104" s="53">
        <v>266.17</v>
      </c>
      <c r="C104" s="53">
        <v>684868.88</v>
      </c>
      <c r="D104" s="53">
        <v>819435.69</v>
      </c>
      <c r="E104" s="53">
        <v>393205.44</v>
      </c>
      <c r="F104" s="53">
        <v>1561462.38</v>
      </c>
      <c r="G104" s="53">
        <v>1874752.38</v>
      </c>
      <c r="H104" s="53">
        <v>9656662.25</v>
      </c>
      <c r="I104" s="53">
        <v>226871.67</v>
      </c>
      <c r="J104" s="53">
        <v>9381.07</v>
      </c>
      <c r="K104" s="53">
        <v>908166.81</v>
      </c>
      <c r="L104" s="53">
        <v>1659643.25</v>
      </c>
      <c r="M104" s="53">
        <v>1853407.63</v>
      </c>
      <c r="N104" s="53">
        <v>218.49</v>
      </c>
      <c r="O104" s="53">
        <v>30370.41</v>
      </c>
      <c r="P104" s="53">
        <v>54455.38</v>
      </c>
      <c r="Q104" s="53">
        <v>95731.59</v>
      </c>
      <c r="R104" s="53">
        <v>114380.31</v>
      </c>
      <c r="S104" s="53">
        <v>109539.3</v>
      </c>
      <c r="T104" s="53">
        <v>56050.63</v>
      </c>
      <c r="U104" s="53">
        <v>62779.94</v>
      </c>
      <c r="V104" s="53">
        <v>37.31</v>
      </c>
      <c r="W104" s="53">
        <v>37.270000000000003</v>
      </c>
      <c r="X104" s="53">
        <v>151.12</v>
      </c>
      <c r="Y104" s="53">
        <v>155.04</v>
      </c>
      <c r="Z104" s="53">
        <v>84.72</v>
      </c>
      <c r="AA104" s="53">
        <v>89.43</v>
      </c>
      <c r="AB104" s="53">
        <v>358.45</v>
      </c>
      <c r="AC104" s="53">
        <v>-0.11</v>
      </c>
      <c r="AD104" s="53">
        <v>345.76</v>
      </c>
      <c r="AE104" s="53">
        <v>-0.88</v>
      </c>
      <c r="AF104" s="53">
        <v>63.41</v>
      </c>
      <c r="AG104" s="53">
        <v>-0.12</v>
      </c>
      <c r="AH104" s="53">
        <v>99.08</v>
      </c>
      <c r="AI104" s="53">
        <v>95.77</v>
      </c>
      <c r="AJ104" s="53">
        <v>103.2</v>
      </c>
      <c r="AK104" s="53">
        <v>48.06</v>
      </c>
      <c r="AL104" s="53">
        <v>43.45</v>
      </c>
      <c r="AM104" s="53">
        <v>42.07</v>
      </c>
      <c r="AN104" s="53">
        <v>41.3</v>
      </c>
      <c r="AO104" s="53">
        <v>37.68</v>
      </c>
      <c r="AP104" s="53">
        <v>9277.93</v>
      </c>
      <c r="AQ104" s="53">
        <v>6.71</v>
      </c>
      <c r="AR104" s="53">
        <v>6.71</v>
      </c>
      <c r="AS104" s="53">
        <v>6.68</v>
      </c>
      <c r="AT104" s="53">
        <v>6.72</v>
      </c>
      <c r="AU104" s="53">
        <v>1801.27</v>
      </c>
      <c r="AV104" s="53">
        <v>2189.02</v>
      </c>
      <c r="AW104" s="53">
        <v>593.9</v>
      </c>
      <c r="AX104" s="53">
        <v>423.88</v>
      </c>
      <c r="AY104" s="53">
        <v>1767.51</v>
      </c>
      <c r="AZ104" s="53">
        <v>1401.08</v>
      </c>
      <c r="BA104" s="53">
        <v>2806.35</v>
      </c>
      <c r="BB104" s="53">
        <v>2750.44</v>
      </c>
      <c r="BC104" s="53">
        <v>2395.48</v>
      </c>
      <c r="BD104" s="53">
        <v>2946.95</v>
      </c>
      <c r="BE104" s="53">
        <v>2863.34</v>
      </c>
      <c r="BF104" s="53">
        <v>2976.48</v>
      </c>
      <c r="BG104" s="53">
        <v>2848.46</v>
      </c>
      <c r="BH104" s="53">
        <v>1757.86</v>
      </c>
      <c r="BI104" s="53">
        <v>2346.5100000000002</v>
      </c>
      <c r="BJ104" s="53">
        <v>2795.93</v>
      </c>
      <c r="BK104" s="53">
        <v>2784.37</v>
      </c>
      <c r="BL104" s="53">
        <v>1815.52</v>
      </c>
      <c r="BM104" s="53">
        <v>2878.59</v>
      </c>
      <c r="BN104" s="53">
        <v>2837.7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8"/>
  <sheetViews>
    <sheetView workbookViewId="0">
      <selection activeCell="F6" sqref="F6"/>
    </sheetView>
  </sheetViews>
  <sheetFormatPr defaultRowHeight="23.25" customHeight="1" x14ac:dyDescent="0.2"/>
  <cols>
    <col min="1" max="1" width="21.42578125" bestFit="1" customWidth="1"/>
    <col min="2" max="2" width="10.42578125" customWidth="1"/>
    <col min="3" max="3" width="13.28515625" customWidth="1"/>
    <col min="4" max="4" width="12.7109375" customWidth="1"/>
    <col min="5" max="5" width="17.140625" customWidth="1"/>
    <col min="6" max="6" width="23.28515625" customWidth="1"/>
  </cols>
  <sheetData>
    <row r="1" spans="1:6" ht="23.25" customHeight="1" x14ac:dyDescent="0.2">
      <c r="A1" s="46" t="s">
        <v>110</v>
      </c>
      <c r="B1" s="46" t="s">
        <v>111</v>
      </c>
      <c r="C1" s="46" t="s">
        <v>215</v>
      </c>
      <c r="D1" s="46" t="s">
        <v>112</v>
      </c>
      <c r="E1" s="46" t="s">
        <v>214</v>
      </c>
      <c r="F1" s="46" t="s">
        <v>216</v>
      </c>
    </row>
    <row r="2" spans="1:6" ht="23.25" customHeight="1" x14ac:dyDescent="0.2">
      <c r="A2" s="71" t="s">
        <v>101</v>
      </c>
      <c r="B2" s="45">
        <v>750</v>
      </c>
      <c r="C2" s="45">
        <v>81</v>
      </c>
      <c r="D2" s="45">
        <v>1488</v>
      </c>
      <c r="E2" s="45">
        <v>800</v>
      </c>
      <c r="F2" s="45">
        <f t="shared" ref="F2:F8" si="0">B2/E2</f>
        <v>0.9375</v>
      </c>
    </row>
    <row r="3" spans="1:6" ht="23.25" customHeight="1" x14ac:dyDescent="0.2">
      <c r="A3" s="71" t="s">
        <v>100</v>
      </c>
      <c r="B3" s="45">
        <v>4900</v>
      </c>
      <c r="C3" s="45">
        <v>497</v>
      </c>
      <c r="D3" s="45">
        <v>1492</v>
      </c>
      <c r="E3" s="45">
        <v>530</v>
      </c>
      <c r="F3" s="45">
        <f t="shared" si="0"/>
        <v>9.2452830188679247</v>
      </c>
    </row>
    <row r="4" spans="1:6" ht="23.25" customHeight="1" x14ac:dyDescent="0.2">
      <c r="A4" s="71" t="s">
        <v>102</v>
      </c>
      <c r="B4" s="45">
        <v>1000</v>
      </c>
      <c r="C4" s="45">
        <v>110</v>
      </c>
      <c r="D4" s="45">
        <v>595</v>
      </c>
      <c r="E4" s="45">
        <v>12945</v>
      </c>
      <c r="F4" s="45">
        <f t="shared" si="0"/>
        <v>7.7249903437620698E-2</v>
      </c>
    </row>
    <row r="5" spans="1:6" ht="23.25" customHeight="1" x14ac:dyDescent="0.2">
      <c r="A5" s="71" t="s">
        <v>103</v>
      </c>
      <c r="B5" s="45">
        <v>1950</v>
      </c>
      <c r="C5" s="45">
        <v>211</v>
      </c>
      <c r="D5" s="45">
        <v>746</v>
      </c>
      <c r="E5" s="45">
        <f>(264.5*0.001*3600*1.048)</f>
        <v>997.90560000000005</v>
      </c>
      <c r="F5" s="45">
        <f>B5/E5</f>
        <v>1.9540926516496149</v>
      </c>
    </row>
    <row r="6" spans="1:6" ht="23.25" customHeight="1" x14ac:dyDescent="0.2">
      <c r="A6" s="71" t="s">
        <v>104</v>
      </c>
      <c r="B6" s="45">
        <v>850</v>
      </c>
      <c r="C6" s="45">
        <v>81</v>
      </c>
      <c r="D6" s="45">
        <v>1489</v>
      </c>
      <c r="E6" s="45">
        <f>(116*0.001*3600*1.048)</f>
        <v>437.64480000000003</v>
      </c>
      <c r="F6" s="45">
        <f>B6/E6</f>
        <v>1.9422143254072708</v>
      </c>
    </row>
    <row r="7" spans="1:6" ht="23.25" customHeight="1" x14ac:dyDescent="0.2">
      <c r="A7" s="71" t="s">
        <v>105</v>
      </c>
      <c r="B7" s="45">
        <v>1300</v>
      </c>
      <c r="C7" s="45">
        <v>136</v>
      </c>
      <c r="D7" s="45">
        <v>1491</v>
      </c>
      <c r="E7" s="45">
        <f>(83.5*0.001*3600*1.048)</f>
        <v>315.02880000000005</v>
      </c>
      <c r="F7" s="73">
        <f>B7/E7</f>
        <v>4.1266068372161522</v>
      </c>
    </row>
    <row r="8" spans="1:6" ht="23.25" customHeight="1" x14ac:dyDescent="0.2">
      <c r="A8" s="71" t="s">
        <v>113</v>
      </c>
      <c r="B8" s="45">
        <v>425</v>
      </c>
      <c r="C8" s="45">
        <v>54</v>
      </c>
      <c r="D8" s="45">
        <v>987</v>
      </c>
      <c r="E8" s="45">
        <v>33.25</v>
      </c>
      <c r="F8" s="45">
        <f t="shared" si="0"/>
        <v>12.781954887218046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1"/>
  <sheetViews>
    <sheetView workbookViewId="0">
      <selection activeCell="L33" sqref="L33"/>
    </sheetView>
  </sheetViews>
  <sheetFormatPr defaultRowHeight="15" x14ac:dyDescent="0.25"/>
  <cols>
    <col min="1" max="1" width="28.5703125" style="34" bestFit="1" customWidth="1"/>
    <col min="2" max="2" width="7.5703125" style="34" bestFit="1" customWidth="1"/>
    <col min="3" max="3" width="6.140625" style="34" bestFit="1" customWidth="1"/>
    <col min="4" max="4" width="7.42578125" style="34" bestFit="1" customWidth="1"/>
    <col min="5" max="5" width="7.5703125" style="34" bestFit="1" customWidth="1"/>
    <col min="6" max="7" width="6.5703125" style="34" bestFit="1" customWidth="1"/>
    <col min="8" max="10" width="7.5703125" style="34" bestFit="1" customWidth="1"/>
    <col min="11" max="11" width="9.42578125" style="34" bestFit="1" customWidth="1"/>
    <col min="12" max="12" width="9.28515625" style="34" bestFit="1" customWidth="1"/>
    <col min="13" max="13" width="9" style="34" bestFit="1" customWidth="1"/>
    <col min="14" max="14" width="8.85546875" style="34" bestFit="1" customWidth="1"/>
    <col min="15" max="15" width="7.140625" style="34" bestFit="1" customWidth="1"/>
    <col min="16" max="17" width="7" style="34" bestFit="1" customWidth="1"/>
    <col min="18" max="18" width="7.140625" style="34" bestFit="1" customWidth="1"/>
    <col min="19" max="19" width="6.85546875" style="34" bestFit="1" customWidth="1"/>
    <col min="20" max="20" width="9.5703125" style="34" bestFit="1" customWidth="1"/>
    <col min="21" max="21" width="9.42578125" style="34" bestFit="1" customWidth="1"/>
    <col min="22" max="16384" width="9.140625" style="34"/>
  </cols>
  <sheetData>
    <row r="1" spans="1:21" s="30" customFormat="1" ht="33.75" customHeight="1" x14ac:dyDescent="0.2">
      <c r="A1" s="29" t="s">
        <v>69</v>
      </c>
      <c r="B1" s="28" t="s">
        <v>66</v>
      </c>
      <c r="C1" s="29" t="s">
        <v>67</v>
      </c>
      <c r="D1" s="29" t="s">
        <v>81</v>
      </c>
      <c r="E1" s="29" t="s">
        <v>82</v>
      </c>
      <c r="F1" s="29" t="s">
        <v>79</v>
      </c>
      <c r="G1" s="29" t="s">
        <v>80</v>
      </c>
      <c r="H1" s="29" t="s">
        <v>76</v>
      </c>
      <c r="I1" s="29" t="s">
        <v>77</v>
      </c>
      <c r="J1" s="29" t="s">
        <v>78</v>
      </c>
      <c r="K1" s="29" t="s">
        <v>90</v>
      </c>
      <c r="L1" s="29" t="s">
        <v>91</v>
      </c>
      <c r="M1" s="29" t="s">
        <v>88</v>
      </c>
      <c r="N1" s="29" t="s">
        <v>89</v>
      </c>
      <c r="O1" s="29" t="s">
        <v>83</v>
      </c>
      <c r="P1" s="29" t="s">
        <v>84</v>
      </c>
      <c r="Q1" s="29" t="s">
        <v>85</v>
      </c>
      <c r="R1" s="29" t="s">
        <v>86</v>
      </c>
      <c r="S1" s="29" t="s">
        <v>87</v>
      </c>
      <c r="T1" s="29" t="s">
        <v>92</v>
      </c>
      <c r="U1" s="29" t="s">
        <v>93</v>
      </c>
    </row>
    <row r="2" spans="1:21" s="30" customFormat="1" x14ac:dyDescent="0.25">
      <c r="A2" s="36"/>
      <c r="B2" s="32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s="30" customFormat="1" ht="18.75" customHeight="1" x14ac:dyDescent="0.2">
      <c r="A3" s="35" t="s">
        <v>107</v>
      </c>
      <c r="B3" s="32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33" t="s">
        <v>75</v>
      </c>
      <c r="B4" s="37">
        <v>268.86959999999993</v>
      </c>
      <c r="C4" s="37">
        <v>268.86959999999993</v>
      </c>
      <c r="D4" s="37">
        <v>268.86959999999993</v>
      </c>
      <c r="E4" s="37">
        <v>268.86959999999993</v>
      </c>
      <c r="F4" s="37">
        <v>268.86959999999993</v>
      </c>
      <c r="G4" s="37">
        <v>268.86959999999993</v>
      </c>
      <c r="H4" s="37">
        <v>268.86959999999993</v>
      </c>
      <c r="I4" s="37">
        <v>268.86959999999993</v>
      </c>
      <c r="J4" s="37">
        <v>268.86959999999993</v>
      </c>
      <c r="K4" s="37">
        <v>268.86959999999993</v>
      </c>
      <c r="L4" s="37">
        <v>268.86959999999993</v>
      </c>
      <c r="M4" s="37">
        <v>268.86959999999993</v>
      </c>
      <c r="N4" s="37">
        <v>268.86959999999993</v>
      </c>
      <c r="O4" s="37">
        <v>268.86959999999993</v>
      </c>
      <c r="P4" s="37">
        <v>268.86959999999993</v>
      </c>
      <c r="Q4" s="37">
        <v>268.86959999999993</v>
      </c>
      <c r="R4" s="37">
        <v>268.86959999999993</v>
      </c>
      <c r="S4" s="37">
        <v>268.86959999999993</v>
      </c>
      <c r="T4" s="37">
        <v>268.86959999999993</v>
      </c>
      <c r="U4" s="37">
        <v>268.86959999999993</v>
      </c>
    </row>
    <row r="5" spans="1:21" x14ac:dyDescent="0.25">
      <c r="A5" s="33" t="s">
        <v>95</v>
      </c>
      <c r="B5" s="37">
        <v>5018.6199999999953</v>
      </c>
      <c r="C5" s="37">
        <v>0</v>
      </c>
      <c r="D5" s="37">
        <v>5166.9699999999721</v>
      </c>
      <c r="E5" s="37"/>
      <c r="F5" s="37">
        <v>4422.5</v>
      </c>
      <c r="G5" s="37">
        <v>4422.5</v>
      </c>
      <c r="H5" s="37"/>
      <c r="I5" s="37"/>
      <c r="J5" s="37"/>
      <c r="K5" s="37">
        <v>4349.8450000000303</v>
      </c>
      <c r="L5" s="37">
        <v>4349.8450000000303</v>
      </c>
      <c r="M5" s="37"/>
      <c r="N5" s="37"/>
      <c r="O5" s="37">
        <v>451.93000000002212</v>
      </c>
      <c r="P5" s="37">
        <v>459.03000000002794</v>
      </c>
      <c r="Q5" s="37">
        <v>470.30999999999767</v>
      </c>
      <c r="R5" s="37">
        <v>457.53000000002794</v>
      </c>
      <c r="S5" s="37">
        <v>239.19000000000233</v>
      </c>
      <c r="T5" s="37">
        <v>2267.5900000000256</v>
      </c>
      <c r="U5" s="37">
        <v>2267.5900000000256</v>
      </c>
    </row>
    <row r="6" spans="1:21" x14ac:dyDescent="0.25">
      <c r="A6" s="33" t="s">
        <v>70</v>
      </c>
      <c r="B6" s="37">
        <v>6.7050000000000001</v>
      </c>
      <c r="C6" s="37">
        <v>6.7050000000000001</v>
      </c>
      <c r="D6" s="37">
        <v>6.7050000000000001</v>
      </c>
      <c r="E6" s="37">
        <v>6.7050000000000001</v>
      </c>
      <c r="F6" s="37">
        <v>6.7050000000000001</v>
      </c>
      <c r="G6" s="37">
        <v>6.7050000000000001</v>
      </c>
      <c r="H6" s="37">
        <v>6.7050000000000001</v>
      </c>
      <c r="I6" s="37">
        <v>6.7050000000000001</v>
      </c>
      <c r="J6" s="37">
        <v>6.7050000000000001</v>
      </c>
      <c r="K6" s="37">
        <v>6.7050000000000001</v>
      </c>
      <c r="L6" s="37">
        <v>6.7050000000000001</v>
      </c>
      <c r="M6" s="37">
        <v>6.7050000000000001</v>
      </c>
      <c r="N6" s="37">
        <v>6.7050000000000001</v>
      </c>
      <c r="O6" s="37">
        <v>6.7050000000000001</v>
      </c>
      <c r="P6" s="37">
        <v>6.7050000000000001</v>
      </c>
      <c r="Q6" s="37">
        <v>6.7050000000000001</v>
      </c>
      <c r="R6" s="37">
        <v>6.7050000000000001</v>
      </c>
      <c r="S6" s="37">
        <v>6.7050000000000001</v>
      </c>
      <c r="T6" s="37">
        <v>6.7050000000000001</v>
      </c>
      <c r="U6" s="37">
        <v>6.7050000000000001</v>
      </c>
    </row>
    <row r="7" spans="1:21" x14ac:dyDescent="0.25">
      <c r="A7" s="33" t="s">
        <v>71</v>
      </c>
      <c r="B7" s="37">
        <v>342.44600000000008</v>
      </c>
      <c r="C7" s="37">
        <v>0</v>
      </c>
      <c r="D7" s="37">
        <v>0</v>
      </c>
      <c r="E7" s="37">
        <v>345.27919999999989</v>
      </c>
      <c r="F7" s="37">
        <v>67.855200000000011</v>
      </c>
      <c r="G7" s="37">
        <v>0</v>
      </c>
      <c r="H7" s="37">
        <v>100.24119999999999</v>
      </c>
      <c r="I7" s="37">
        <v>103.0364</v>
      </c>
      <c r="J7" s="37">
        <v>102.46199999999997</v>
      </c>
      <c r="K7" s="37">
        <v>42.989600000000003</v>
      </c>
      <c r="L7" s="37">
        <v>42.673200000000008</v>
      </c>
      <c r="M7" s="37">
        <v>165.37039999999996</v>
      </c>
      <c r="N7" s="37">
        <v>154.87040000000002</v>
      </c>
      <c r="O7" s="37">
        <v>41.1004</v>
      </c>
      <c r="P7" s="37">
        <v>41.878799999999998</v>
      </c>
      <c r="Q7" s="37">
        <v>40.970799999999997</v>
      </c>
      <c r="R7" s="37">
        <v>40.966000000000001</v>
      </c>
      <c r="S7" s="37">
        <v>35.394800000000004</v>
      </c>
      <c r="T7" s="37">
        <v>85.799600000000012</v>
      </c>
      <c r="U7" s="37">
        <v>87.121200000000002</v>
      </c>
    </row>
    <row r="8" spans="1:21" x14ac:dyDescent="0.25">
      <c r="A8" s="33" t="s">
        <v>72</v>
      </c>
      <c r="B8" s="37">
        <v>0.85</v>
      </c>
      <c r="C8" s="37">
        <v>0.85</v>
      </c>
      <c r="D8" s="37">
        <v>0.85</v>
      </c>
      <c r="E8" s="37">
        <v>0.85</v>
      </c>
      <c r="F8" s="37">
        <v>0.85</v>
      </c>
      <c r="G8" s="37">
        <v>0.85</v>
      </c>
      <c r="H8" s="37">
        <v>0.85</v>
      </c>
      <c r="I8" s="37">
        <v>0.85</v>
      </c>
      <c r="J8" s="37">
        <v>0.85</v>
      </c>
      <c r="K8" s="37">
        <v>0.85</v>
      </c>
      <c r="L8" s="37">
        <v>0.85</v>
      </c>
      <c r="M8" s="37">
        <v>0.85</v>
      </c>
      <c r="N8" s="37">
        <v>0.85</v>
      </c>
      <c r="O8" s="37">
        <v>0.85</v>
      </c>
      <c r="P8" s="37">
        <v>0.85</v>
      </c>
      <c r="Q8" s="37">
        <v>0.85</v>
      </c>
      <c r="R8" s="37">
        <v>0.85</v>
      </c>
      <c r="S8" s="37">
        <v>0.85</v>
      </c>
      <c r="T8" s="37">
        <v>0.85</v>
      </c>
      <c r="U8" s="37">
        <v>0.85</v>
      </c>
    </row>
    <row r="9" spans="1:21" x14ac:dyDescent="0.25">
      <c r="A9" s="33" t="s">
        <v>74</v>
      </c>
      <c r="B9" s="37">
        <v>12</v>
      </c>
      <c r="C9" s="37">
        <v>0</v>
      </c>
      <c r="D9" s="37">
        <v>0</v>
      </c>
      <c r="E9" s="37">
        <v>12</v>
      </c>
      <c r="F9" s="37">
        <v>12</v>
      </c>
      <c r="G9" s="37">
        <v>0</v>
      </c>
      <c r="H9" s="37">
        <v>12</v>
      </c>
      <c r="I9" s="37">
        <v>12</v>
      </c>
      <c r="J9" s="37">
        <v>12</v>
      </c>
      <c r="K9" s="37">
        <v>12</v>
      </c>
      <c r="L9" s="37">
        <v>12</v>
      </c>
      <c r="M9" s="37">
        <v>12</v>
      </c>
      <c r="N9" s="37">
        <v>12</v>
      </c>
      <c r="O9" s="37">
        <v>12</v>
      </c>
      <c r="P9" s="37">
        <v>12</v>
      </c>
      <c r="Q9" s="37">
        <v>12</v>
      </c>
      <c r="R9" s="37">
        <v>12</v>
      </c>
      <c r="S9" s="37">
        <v>12</v>
      </c>
      <c r="T9" s="37">
        <v>12</v>
      </c>
      <c r="U9" s="37">
        <v>12</v>
      </c>
    </row>
    <row r="10" spans="1:21" x14ac:dyDescent="0.25">
      <c r="A10" s="33" t="s">
        <v>73</v>
      </c>
      <c r="B10" s="37">
        <v>40563.828636552011</v>
      </c>
      <c r="C10" s="37">
        <v>0</v>
      </c>
      <c r="D10" s="37">
        <v>0</v>
      </c>
      <c r="E10" s="37">
        <v>40899.430276790386</v>
      </c>
      <c r="F10" s="37">
        <v>8037.666390902401</v>
      </c>
      <c r="G10" s="37">
        <v>0</v>
      </c>
      <c r="H10" s="37">
        <v>11873.892114734399</v>
      </c>
      <c r="I10" s="37">
        <v>12204.9925329168</v>
      </c>
      <c r="J10" s="37">
        <v>12136.953007943997</v>
      </c>
      <c r="K10" s="37">
        <v>5092.2562025952011</v>
      </c>
      <c r="L10" s="37">
        <v>5054.777606318401</v>
      </c>
      <c r="M10" s="37">
        <v>19588.655049724795</v>
      </c>
      <c r="N10" s="37">
        <v>18344.896323724803</v>
      </c>
      <c r="O10" s="37">
        <v>4868.4743944847996</v>
      </c>
      <c r="P10" s="37">
        <v>4960.6783747055997</v>
      </c>
      <c r="Q10" s="37">
        <v>4853.1228582096001</v>
      </c>
      <c r="R10" s="37">
        <v>4852.5542827920008</v>
      </c>
      <c r="S10" s="37">
        <v>4192.6277480976005</v>
      </c>
      <c r="T10" s="37">
        <v>10163.238208315201</v>
      </c>
      <c r="U10" s="37">
        <v>10319.785973294402</v>
      </c>
    </row>
    <row r="11" spans="1:21" x14ac:dyDescent="0.25">
      <c r="A11" s="33" t="s">
        <v>68</v>
      </c>
      <c r="B11" s="41">
        <v>0.12372155609290104</v>
      </c>
      <c r="C11" s="42" t="s">
        <v>96</v>
      </c>
      <c r="D11" s="42" t="s">
        <v>96</v>
      </c>
      <c r="E11" s="41">
        <v>0</v>
      </c>
      <c r="F11" s="41">
        <v>0.55022189089680285</v>
      </c>
      <c r="G11" s="42" t="s">
        <v>96</v>
      </c>
      <c r="H11" s="41">
        <v>0</v>
      </c>
      <c r="I11" s="41">
        <v>0</v>
      </c>
      <c r="J11" s="41">
        <v>0</v>
      </c>
      <c r="K11" s="41">
        <v>0.85420780631249249</v>
      </c>
      <c r="L11" s="41">
        <v>0.8605413212567028</v>
      </c>
      <c r="M11" s="41">
        <v>0</v>
      </c>
      <c r="N11" s="41">
        <v>0</v>
      </c>
      <c r="O11" s="41">
        <v>9.282784777752684E-2</v>
      </c>
      <c r="P11" s="41">
        <v>9.2533715215365048E-2</v>
      </c>
      <c r="Q11" s="41">
        <v>9.690873562049139E-2</v>
      </c>
      <c r="R11" s="41">
        <v>9.428642593912008E-2</v>
      </c>
      <c r="S11" s="41">
        <v>5.7050140000751197E-2</v>
      </c>
      <c r="T11" s="41">
        <v>0.22311688002597085</v>
      </c>
      <c r="U11" s="41">
        <v>0.21973227021065236</v>
      </c>
    </row>
    <row r="12" spans="1:21" x14ac:dyDescent="0.25"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</row>
    <row r="13" spans="1:21" s="30" customFormat="1" ht="15.75" customHeight="1" x14ac:dyDescent="0.2">
      <c r="A13" s="35" t="s">
        <v>108</v>
      </c>
      <c r="B13" s="39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33" t="s">
        <v>75</v>
      </c>
      <c r="B14" s="37">
        <v>164.83080000000007</v>
      </c>
      <c r="C14" s="37">
        <v>164.83080000000007</v>
      </c>
      <c r="D14" s="37">
        <v>164.83080000000007</v>
      </c>
      <c r="E14" s="37">
        <v>164.83080000000007</v>
      </c>
      <c r="F14" s="37">
        <v>164.83080000000007</v>
      </c>
      <c r="G14" s="37">
        <v>164.83080000000007</v>
      </c>
      <c r="H14" s="37">
        <v>164.83080000000007</v>
      </c>
      <c r="I14" s="37">
        <v>164.83080000000007</v>
      </c>
      <c r="J14" s="37">
        <v>164.83080000000007</v>
      </c>
      <c r="K14" s="37">
        <v>164.83080000000007</v>
      </c>
      <c r="L14" s="37">
        <v>164.83080000000007</v>
      </c>
      <c r="M14" s="37">
        <v>164.83080000000007</v>
      </c>
      <c r="N14" s="37">
        <v>164.83080000000007</v>
      </c>
      <c r="O14" s="37">
        <v>164.83080000000007</v>
      </c>
      <c r="P14" s="37">
        <v>164.83080000000007</v>
      </c>
      <c r="Q14" s="37">
        <v>164.83080000000007</v>
      </c>
      <c r="R14" s="37">
        <v>164.83080000000007</v>
      </c>
      <c r="S14" s="37">
        <v>164.83080000000007</v>
      </c>
      <c r="T14" s="37">
        <v>164.83080000000007</v>
      </c>
      <c r="U14" s="37">
        <v>164.83080000000007</v>
      </c>
    </row>
    <row r="15" spans="1:21" x14ac:dyDescent="0.25">
      <c r="A15" s="33" t="s">
        <v>95</v>
      </c>
      <c r="B15" s="37">
        <v>5898.3699999999953</v>
      </c>
      <c r="C15" s="37">
        <v>0</v>
      </c>
      <c r="D15" s="37">
        <v>0</v>
      </c>
      <c r="E15" s="37"/>
      <c r="F15" s="37">
        <v>2832.9700000000303</v>
      </c>
      <c r="G15" s="37">
        <v>2832.9700000000303</v>
      </c>
      <c r="H15" s="37"/>
      <c r="I15" s="37"/>
      <c r="J15" s="37"/>
      <c r="K15" s="37">
        <v>2672.5649999999441</v>
      </c>
      <c r="L15" s="37">
        <v>2672.5649999999441</v>
      </c>
      <c r="M15" s="37"/>
      <c r="N15" s="37"/>
      <c r="O15" s="37">
        <v>0</v>
      </c>
      <c r="P15" s="37">
        <v>416.90999999997439</v>
      </c>
      <c r="Q15" s="37">
        <v>407.07000000000698</v>
      </c>
      <c r="R15" s="37">
        <v>393.44000000000233</v>
      </c>
      <c r="S15" s="37">
        <v>201.91000000000349</v>
      </c>
      <c r="T15" s="37">
        <v>1804.2649999999849</v>
      </c>
      <c r="U15" s="37">
        <v>1804.2649999999849</v>
      </c>
    </row>
    <row r="16" spans="1:21" x14ac:dyDescent="0.25">
      <c r="A16" s="33" t="s">
        <v>70</v>
      </c>
      <c r="B16" s="37">
        <v>6.7943999999999996</v>
      </c>
      <c r="C16" s="37">
        <v>6.7943999999999996</v>
      </c>
      <c r="D16" s="37">
        <v>6.7943999999999996</v>
      </c>
      <c r="E16" s="37">
        <v>6.7943999999999996</v>
      </c>
      <c r="F16" s="37">
        <v>6.7943999999999996</v>
      </c>
      <c r="G16" s="37">
        <v>6.7943999999999996</v>
      </c>
      <c r="H16" s="37">
        <v>6.7943999999999996</v>
      </c>
      <c r="I16" s="37">
        <v>6.7943999999999996</v>
      </c>
      <c r="J16" s="37">
        <v>6.7943999999999996</v>
      </c>
      <c r="K16" s="37">
        <v>6.7943999999999996</v>
      </c>
      <c r="L16" s="37">
        <v>6.7943999999999996</v>
      </c>
      <c r="M16" s="37">
        <v>6.7943999999999996</v>
      </c>
      <c r="N16" s="37">
        <v>6.7943999999999996</v>
      </c>
      <c r="O16" s="37">
        <v>6.7943999999999996</v>
      </c>
      <c r="P16" s="37">
        <v>6.7943999999999996</v>
      </c>
      <c r="Q16" s="37">
        <v>6.7943999999999996</v>
      </c>
      <c r="R16" s="37">
        <v>6.7943999999999996</v>
      </c>
      <c r="S16" s="37">
        <v>6.7943999999999996</v>
      </c>
      <c r="T16" s="37">
        <v>6.7943999999999996</v>
      </c>
      <c r="U16" s="37">
        <v>6.7943999999999996</v>
      </c>
    </row>
    <row r="17" spans="1:21" x14ac:dyDescent="0.25">
      <c r="A17" s="33" t="s">
        <v>71</v>
      </c>
      <c r="B17" s="37">
        <v>369.85720000000003</v>
      </c>
      <c r="C17" s="37">
        <v>0</v>
      </c>
      <c r="D17" s="37">
        <v>0</v>
      </c>
      <c r="E17" s="37">
        <v>0</v>
      </c>
      <c r="F17" s="37">
        <v>54.641199999999998</v>
      </c>
      <c r="G17" s="37">
        <v>0</v>
      </c>
      <c r="H17" s="37">
        <v>97.78</v>
      </c>
      <c r="I17" s="37">
        <v>100.90600000000001</v>
      </c>
      <c r="J17" s="37">
        <v>0</v>
      </c>
      <c r="K17" s="37">
        <v>30.026399999999985</v>
      </c>
      <c r="L17" s="37">
        <v>31.002000000000002</v>
      </c>
      <c r="M17" s="37">
        <v>106.9628</v>
      </c>
      <c r="N17" s="37">
        <v>104.4812</v>
      </c>
      <c r="O17" s="37">
        <v>0</v>
      </c>
      <c r="P17" s="37">
        <v>38.767600000000002</v>
      </c>
      <c r="Q17" s="37">
        <v>38.869199999999999</v>
      </c>
      <c r="R17" s="37">
        <v>39.463200000000008</v>
      </c>
      <c r="S17" s="37">
        <v>30.912000000000003</v>
      </c>
      <c r="T17" s="37">
        <v>75.816000000000003</v>
      </c>
      <c r="U17" s="37">
        <v>76.102000000000004</v>
      </c>
    </row>
    <row r="18" spans="1:21" x14ac:dyDescent="0.25">
      <c r="A18" s="33" t="s">
        <v>72</v>
      </c>
      <c r="B18" s="37">
        <v>0.85</v>
      </c>
      <c r="C18" s="37">
        <v>0.85</v>
      </c>
      <c r="D18" s="37">
        <v>0.85</v>
      </c>
      <c r="E18" s="37">
        <v>0.85</v>
      </c>
      <c r="F18" s="37">
        <v>0.85</v>
      </c>
      <c r="G18" s="37">
        <v>0.85</v>
      </c>
      <c r="H18" s="37">
        <v>0.85</v>
      </c>
      <c r="I18" s="37">
        <v>0.85</v>
      </c>
      <c r="J18" s="37">
        <v>0.85</v>
      </c>
      <c r="K18" s="37">
        <v>0.85</v>
      </c>
      <c r="L18" s="37">
        <v>0.85</v>
      </c>
      <c r="M18" s="37">
        <v>0.85</v>
      </c>
      <c r="N18" s="37">
        <v>0.85</v>
      </c>
      <c r="O18" s="37">
        <v>0.85</v>
      </c>
      <c r="P18" s="37">
        <v>0.85</v>
      </c>
      <c r="Q18" s="37">
        <v>0.85</v>
      </c>
      <c r="R18" s="37">
        <v>0.85</v>
      </c>
      <c r="S18" s="37">
        <v>0.85</v>
      </c>
      <c r="T18" s="37">
        <v>0.85</v>
      </c>
      <c r="U18" s="37">
        <v>0.85</v>
      </c>
    </row>
    <row r="19" spans="1:21" x14ac:dyDescent="0.25">
      <c r="A19" s="33" t="s">
        <v>74</v>
      </c>
      <c r="B19" s="37">
        <v>12</v>
      </c>
      <c r="C19" s="37">
        <v>0</v>
      </c>
      <c r="D19" s="37">
        <v>0</v>
      </c>
      <c r="E19" s="37">
        <v>0</v>
      </c>
      <c r="F19" s="37">
        <v>12</v>
      </c>
      <c r="G19" s="37">
        <v>0</v>
      </c>
      <c r="H19" s="37">
        <v>12</v>
      </c>
      <c r="I19" s="37">
        <v>12</v>
      </c>
      <c r="J19" s="37">
        <v>0</v>
      </c>
      <c r="K19" s="37">
        <v>12</v>
      </c>
      <c r="L19" s="37">
        <v>12</v>
      </c>
      <c r="M19" s="37">
        <v>12</v>
      </c>
      <c r="N19" s="37">
        <v>12</v>
      </c>
      <c r="O19" s="37">
        <v>0</v>
      </c>
      <c r="P19" s="37">
        <v>11.990000000000009</v>
      </c>
      <c r="Q19" s="37">
        <v>12</v>
      </c>
      <c r="R19" s="37">
        <v>12</v>
      </c>
      <c r="S19" s="37">
        <v>10.239999999999895</v>
      </c>
      <c r="T19" s="37">
        <v>12</v>
      </c>
      <c r="U19" s="37">
        <v>12</v>
      </c>
    </row>
    <row r="20" spans="1:21" x14ac:dyDescent="0.25">
      <c r="A20" s="33" t="s">
        <v>73</v>
      </c>
      <c r="B20" s="37">
        <v>44394.916965610755</v>
      </c>
      <c r="C20" s="37">
        <v>0</v>
      </c>
      <c r="D20" s="37">
        <v>0</v>
      </c>
      <c r="E20" s="37">
        <v>0</v>
      </c>
      <c r="F20" s="37">
        <v>6558.7246561681914</v>
      </c>
      <c r="G20" s="37">
        <v>0</v>
      </c>
      <c r="H20" s="37">
        <v>11736.786470284798</v>
      </c>
      <c r="I20" s="37">
        <v>12112.008340872959</v>
      </c>
      <c r="J20" s="37">
        <v>0</v>
      </c>
      <c r="K20" s="37">
        <v>3604.1465051274222</v>
      </c>
      <c r="L20" s="37">
        <v>3721.25029813632</v>
      </c>
      <c r="M20" s="37">
        <v>12839.021720840447</v>
      </c>
      <c r="N20" s="37">
        <v>12541.148850062589</v>
      </c>
      <c r="O20" s="37">
        <v>0</v>
      </c>
      <c r="P20" s="37">
        <v>4649.4975519476602</v>
      </c>
      <c r="Q20" s="37">
        <v>4665.5706757086718</v>
      </c>
      <c r="R20" s="37">
        <v>4736.8700330757129</v>
      </c>
      <c r="S20" s="37">
        <v>3166.2484183056063</v>
      </c>
      <c r="T20" s="37">
        <v>9100.3907039385595</v>
      </c>
      <c r="U20" s="37">
        <v>9134.7200241523187</v>
      </c>
    </row>
    <row r="21" spans="1:21" x14ac:dyDescent="0.25">
      <c r="A21" s="33" t="s">
        <v>68</v>
      </c>
      <c r="B21" s="41">
        <v>0.13286138150836047</v>
      </c>
      <c r="C21" s="42" t="s">
        <v>96</v>
      </c>
      <c r="D21" s="42" t="s">
        <v>96</v>
      </c>
      <c r="E21" s="42" t="s">
        <v>96</v>
      </c>
      <c r="F21" s="41">
        <v>0.43193915715546116</v>
      </c>
      <c r="G21" s="42" t="s">
        <v>96</v>
      </c>
      <c r="H21" s="41">
        <v>0</v>
      </c>
      <c r="I21" s="41">
        <v>0</v>
      </c>
      <c r="J21" s="42" t="s">
        <v>96</v>
      </c>
      <c r="K21" s="41">
        <v>0.74152507291194514</v>
      </c>
      <c r="L21" s="41">
        <v>0.71819006674676533</v>
      </c>
      <c r="M21" s="41">
        <v>0</v>
      </c>
      <c r="N21" s="41">
        <v>0</v>
      </c>
      <c r="O21" s="42" t="s">
        <v>96</v>
      </c>
      <c r="P21" s="41">
        <v>8.9667753416782001E-2</v>
      </c>
      <c r="Q21" s="41">
        <v>8.7249776778523566E-2</v>
      </c>
      <c r="R21" s="41">
        <v>8.3059065849973621E-2</v>
      </c>
      <c r="S21" s="41">
        <v>6.3769475203734674E-2</v>
      </c>
      <c r="T21" s="41">
        <v>0.19826236682553824</v>
      </c>
      <c r="U21" s="41">
        <v>0.19751727422728718</v>
      </c>
    </row>
    <row r="22" spans="1:21" x14ac:dyDescent="0.25"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</row>
    <row r="23" spans="1:21" s="30" customFormat="1" ht="15.75" customHeight="1" x14ac:dyDescent="0.2">
      <c r="A23" s="35" t="s">
        <v>109</v>
      </c>
      <c r="B23" s="39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 x14ac:dyDescent="0.25">
      <c r="A24" s="33" t="s">
        <v>75</v>
      </c>
      <c r="B24" s="37">
        <v>200.98999999999998</v>
      </c>
      <c r="C24" s="37">
        <v>200.98999999999998</v>
      </c>
      <c r="D24" s="37">
        <v>200.98999999999998</v>
      </c>
      <c r="E24" s="37">
        <v>200.98999999999998</v>
      </c>
      <c r="F24" s="37">
        <v>200.98999999999998</v>
      </c>
      <c r="G24" s="37">
        <v>200.98999999999998</v>
      </c>
      <c r="H24" s="37">
        <v>200.98999999999998</v>
      </c>
      <c r="I24" s="37">
        <v>200.98999999999998</v>
      </c>
      <c r="J24" s="37">
        <v>200.98999999999998</v>
      </c>
      <c r="K24" s="37">
        <v>200.98999999999998</v>
      </c>
      <c r="L24" s="37">
        <v>200.98999999999998</v>
      </c>
      <c r="M24" s="37">
        <v>200.98999999999998</v>
      </c>
      <c r="N24" s="37">
        <v>200.98999999999998</v>
      </c>
      <c r="O24" s="37">
        <v>200.98999999999998</v>
      </c>
      <c r="P24" s="37">
        <v>200.98999999999998</v>
      </c>
      <c r="Q24" s="37">
        <v>200.98999999999998</v>
      </c>
      <c r="R24" s="37">
        <v>200.98999999999998</v>
      </c>
      <c r="S24" s="37">
        <v>200.98999999999998</v>
      </c>
      <c r="T24" s="37">
        <v>200.98999999999998</v>
      </c>
      <c r="U24" s="37">
        <v>200.98999999999998</v>
      </c>
    </row>
    <row r="25" spans="1:21" x14ac:dyDescent="0.25">
      <c r="A25" s="33" t="s">
        <v>95</v>
      </c>
      <c r="B25" s="37">
        <v>782.0899999999674</v>
      </c>
      <c r="C25" s="37">
        <v>0</v>
      </c>
      <c r="D25" s="37">
        <v>737.86999999999534</v>
      </c>
      <c r="E25" s="37"/>
      <c r="F25" s="37">
        <v>690.31499999994412</v>
      </c>
      <c r="G25" s="37">
        <v>690.31499999994412</v>
      </c>
      <c r="H25" s="37"/>
      <c r="I25" s="37"/>
      <c r="J25" s="37"/>
      <c r="K25" s="37">
        <v>688.625</v>
      </c>
      <c r="L25" s="37">
        <v>688.625</v>
      </c>
      <c r="M25" s="37"/>
      <c r="N25" s="37"/>
      <c r="O25" s="37">
        <v>86.860000000015134</v>
      </c>
      <c r="P25" s="37">
        <v>86.5</v>
      </c>
      <c r="Q25" s="37">
        <v>81.039999999979045</v>
      </c>
      <c r="R25" s="37">
        <v>85.910000000032596</v>
      </c>
      <c r="S25" s="37">
        <v>0</v>
      </c>
      <c r="T25" s="37">
        <v>382.25</v>
      </c>
      <c r="U25" s="37">
        <v>382.25</v>
      </c>
    </row>
    <row r="26" spans="1:21" x14ac:dyDescent="0.25">
      <c r="A26" s="33" t="s">
        <v>70</v>
      </c>
      <c r="B26" s="37">
        <v>6.6849999999999996</v>
      </c>
      <c r="C26" s="37">
        <v>6.6849999999999996</v>
      </c>
      <c r="D26" s="37">
        <v>6.6849999999999996</v>
      </c>
      <c r="E26" s="37">
        <v>6.6849999999999996</v>
      </c>
      <c r="F26" s="37">
        <v>6.6849999999999996</v>
      </c>
      <c r="G26" s="37">
        <v>6.6849999999999996</v>
      </c>
      <c r="H26" s="37">
        <v>6.6849999999999996</v>
      </c>
      <c r="I26" s="37">
        <v>6.6849999999999996</v>
      </c>
      <c r="J26" s="37">
        <v>6.6849999999999996</v>
      </c>
      <c r="K26" s="37">
        <v>6.6849999999999996</v>
      </c>
      <c r="L26" s="37">
        <v>6.6849999999999996</v>
      </c>
      <c r="M26" s="37">
        <v>6.6849999999999996</v>
      </c>
      <c r="N26" s="37">
        <v>6.6849999999999996</v>
      </c>
      <c r="O26" s="37">
        <v>6.6849999999999996</v>
      </c>
      <c r="P26" s="37">
        <v>6.6849999999999996</v>
      </c>
      <c r="Q26" s="37">
        <v>6.6849999999999996</v>
      </c>
      <c r="R26" s="37">
        <v>6.6849999999999996</v>
      </c>
      <c r="S26" s="37">
        <v>6.6849999999999996</v>
      </c>
      <c r="T26" s="37">
        <v>6.6849999999999996</v>
      </c>
      <c r="U26" s="37">
        <v>6.6849999999999996</v>
      </c>
    </row>
    <row r="27" spans="1:21" x14ac:dyDescent="0.25">
      <c r="A27" s="33" t="s">
        <v>71</v>
      </c>
      <c r="B27" s="37">
        <v>277.69499999999999</v>
      </c>
      <c r="C27" s="37">
        <v>0</v>
      </c>
      <c r="D27" s="37">
        <v>0</v>
      </c>
      <c r="E27" s="37">
        <v>269.42833333333334</v>
      </c>
      <c r="F27" s="37">
        <v>58.564999999999998</v>
      </c>
      <c r="G27" s="37">
        <v>0</v>
      </c>
      <c r="H27" s="37">
        <v>100.05</v>
      </c>
      <c r="I27" s="37">
        <v>102.22166666666668</v>
      </c>
      <c r="J27" s="37">
        <v>101.67333333333335</v>
      </c>
      <c r="K27" s="37">
        <v>32.244999999999997</v>
      </c>
      <c r="L27" s="37">
        <v>32.158333333333331</v>
      </c>
      <c r="M27" s="37">
        <v>122.17166666666668</v>
      </c>
      <c r="N27" s="37">
        <v>112.55166666666668</v>
      </c>
      <c r="O27" s="37">
        <v>41.18666666666666</v>
      </c>
      <c r="P27" s="37">
        <v>39.67</v>
      </c>
      <c r="Q27" s="37">
        <v>38.06</v>
      </c>
      <c r="R27" s="37">
        <v>39.018333333333331</v>
      </c>
      <c r="S27" s="37">
        <v>0</v>
      </c>
      <c r="T27" s="37">
        <v>77.316666666666663</v>
      </c>
      <c r="U27" s="37">
        <v>77.816666666666663</v>
      </c>
    </row>
    <row r="28" spans="1:21" x14ac:dyDescent="0.25">
      <c r="A28" s="33" t="s">
        <v>72</v>
      </c>
      <c r="B28" s="37">
        <v>0.85</v>
      </c>
      <c r="C28" s="37">
        <v>0.85</v>
      </c>
      <c r="D28" s="37">
        <v>0.85</v>
      </c>
      <c r="E28" s="37">
        <v>0.85</v>
      </c>
      <c r="F28" s="37">
        <v>0.85</v>
      </c>
      <c r="G28" s="37">
        <v>0.85</v>
      </c>
      <c r="H28" s="37">
        <v>0.85</v>
      </c>
      <c r="I28" s="37">
        <v>0.85</v>
      </c>
      <c r="J28" s="37">
        <v>0.85</v>
      </c>
      <c r="K28" s="37">
        <v>0.85</v>
      </c>
      <c r="L28" s="37">
        <v>0.85</v>
      </c>
      <c r="M28" s="37">
        <v>0.85</v>
      </c>
      <c r="N28" s="37">
        <v>0.85</v>
      </c>
      <c r="O28" s="37">
        <v>0.85</v>
      </c>
      <c r="P28" s="37">
        <v>0.85</v>
      </c>
      <c r="Q28" s="37">
        <v>0.85</v>
      </c>
      <c r="R28" s="37">
        <v>0.85</v>
      </c>
      <c r="S28" s="37">
        <v>0.85</v>
      </c>
      <c r="T28" s="37">
        <v>0.85</v>
      </c>
      <c r="U28" s="37">
        <v>0.85</v>
      </c>
    </row>
    <row r="29" spans="1:21" x14ac:dyDescent="0.25">
      <c r="A29" s="33" t="s">
        <v>74</v>
      </c>
      <c r="B29" s="37">
        <v>2.5</v>
      </c>
      <c r="C29" s="37">
        <v>0</v>
      </c>
      <c r="D29" s="37">
        <v>0</v>
      </c>
      <c r="E29" s="37">
        <v>2.5</v>
      </c>
      <c r="F29" s="37">
        <v>2.5</v>
      </c>
      <c r="G29" s="37">
        <v>0</v>
      </c>
      <c r="H29" s="37">
        <v>2.5</v>
      </c>
      <c r="I29" s="37">
        <v>2.5</v>
      </c>
      <c r="J29" s="37">
        <v>2.5</v>
      </c>
      <c r="K29" s="37">
        <v>2.5</v>
      </c>
      <c r="L29" s="37">
        <v>2.5</v>
      </c>
      <c r="M29" s="37">
        <v>2.5</v>
      </c>
      <c r="N29" s="37">
        <v>2.5</v>
      </c>
      <c r="O29" s="37">
        <v>2.5</v>
      </c>
      <c r="P29" s="37">
        <v>2.5</v>
      </c>
      <c r="Q29" s="37">
        <v>2.5</v>
      </c>
      <c r="R29" s="37">
        <v>2.5</v>
      </c>
      <c r="S29" s="37">
        <v>0</v>
      </c>
      <c r="T29" s="37">
        <v>2.5</v>
      </c>
      <c r="U29" s="37">
        <v>2.5</v>
      </c>
    </row>
    <row r="30" spans="1:21" x14ac:dyDescent="0.25">
      <c r="A30" s="33" t="s">
        <v>73</v>
      </c>
      <c r="B30" s="37">
        <v>6832.4473515374993</v>
      </c>
      <c r="C30" s="37">
        <v>0</v>
      </c>
      <c r="D30" s="37">
        <v>0</v>
      </c>
      <c r="E30" s="37">
        <v>6629.0531068708333</v>
      </c>
      <c r="F30" s="37">
        <v>1440.9416055124998</v>
      </c>
      <c r="G30" s="37">
        <v>0</v>
      </c>
      <c r="H30" s="37">
        <v>2461.6444571249995</v>
      </c>
      <c r="I30" s="37">
        <v>2515.0764532541671</v>
      </c>
      <c r="J30" s="37">
        <v>2501.5851817833336</v>
      </c>
      <c r="K30" s="37">
        <v>793.36057491249994</v>
      </c>
      <c r="L30" s="37">
        <v>791.22821589583327</v>
      </c>
      <c r="M30" s="37">
        <v>3005.9290961291667</v>
      </c>
      <c r="N30" s="37">
        <v>2769.2372452791665</v>
      </c>
      <c r="O30" s="37">
        <v>1013.3626157666664</v>
      </c>
      <c r="P30" s="37">
        <v>976.04633297499981</v>
      </c>
      <c r="Q30" s="37">
        <v>936.43366355000001</v>
      </c>
      <c r="R30" s="37">
        <v>960.01263344583322</v>
      </c>
      <c r="S30" s="37">
        <v>0</v>
      </c>
      <c r="T30" s="37">
        <v>1902.3102842916662</v>
      </c>
      <c r="U30" s="37">
        <v>1914.6123555416666</v>
      </c>
    </row>
    <row r="31" spans="1:21" x14ac:dyDescent="0.25">
      <c r="A31" s="33" t="s">
        <v>68</v>
      </c>
      <c r="B31" s="41">
        <v>0.11446703644543627</v>
      </c>
      <c r="C31" s="42" t="s">
        <v>96</v>
      </c>
      <c r="D31" s="42" t="s">
        <v>96</v>
      </c>
      <c r="E31" s="41">
        <v>0</v>
      </c>
      <c r="F31" s="41">
        <v>0.47907215487363192</v>
      </c>
      <c r="G31" s="42" t="s">
        <v>96</v>
      </c>
      <c r="H31" s="41">
        <v>0</v>
      </c>
      <c r="I31" s="41">
        <v>0</v>
      </c>
      <c r="J31" s="41">
        <v>0</v>
      </c>
      <c r="K31" s="41">
        <v>0.86798490090832747</v>
      </c>
      <c r="L31" s="41">
        <v>0.8703241190916513</v>
      </c>
      <c r="M31" s="41">
        <v>0</v>
      </c>
      <c r="N31" s="41">
        <v>0</v>
      </c>
      <c r="O31" s="41">
        <v>8.5714628355715097E-2</v>
      </c>
      <c r="P31" s="41">
        <v>8.8622842049257092E-2</v>
      </c>
      <c r="Q31" s="41">
        <v>8.6541100725446088E-2</v>
      </c>
      <c r="R31" s="41">
        <v>8.9488405680319516E-2</v>
      </c>
      <c r="S31" s="42" t="s">
        <v>96</v>
      </c>
      <c r="T31" s="41">
        <v>0.20093987986945699</v>
      </c>
      <c r="U31" s="41">
        <v>0.19964876905427517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445"/>
  <sheetViews>
    <sheetView workbookViewId="0">
      <selection activeCell="G15" sqref="G15"/>
    </sheetView>
  </sheetViews>
  <sheetFormatPr defaultRowHeight="12.75" x14ac:dyDescent="0.25"/>
  <cols>
    <col min="1" max="1" width="32.7109375" style="3" bestFit="1" customWidth="1"/>
    <col min="2" max="2" width="13.7109375" style="12" customWidth="1"/>
    <col min="3" max="3" width="11.140625" style="3" customWidth="1"/>
    <col min="4" max="4" width="9.140625" style="3"/>
    <col min="5" max="7" width="10" style="3" bestFit="1" customWidth="1"/>
    <col min="8" max="10" width="9.140625" style="3"/>
    <col min="11" max="11" width="10" style="3" customWidth="1"/>
    <col min="12" max="12" width="10.5703125" style="3" customWidth="1"/>
    <col min="13" max="19" width="9.140625" style="3"/>
    <col min="20" max="20" width="11" style="3" customWidth="1"/>
    <col min="21" max="21" width="11.140625" style="3" customWidth="1"/>
    <col min="22" max="31" width="9.140625" style="3"/>
    <col min="32" max="33" width="9.140625" style="3" customWidth="1"/>
    <col min="34" max="16384" width="9.140625" style="3"/>
  </cols>
  <sheetData>
    <row r="1" spans="1:21" s="2" customFormat="1" ht="49.5" customHeight="1" x14ac:dyDescent="0.2">
      <c r="A1" s="9" t="s">
        <v>69</v>
      </c>
      <c r="B1" s="11" t="s">
        <v>66</v>
      </c>
      <c r="C1" s="1" t="s">
        <v>67</v>
      </c>
      <c r="D1" s="1" t="s">
        <v>81</v>
      </c>
      <c r="E1" s="1" t="s">
        <v>82</v>
      </c>
      <c r="F1" s="1" t="s">
        <v>79</v>
      </c>
      <c r="G1" s="1" t="s">
        <v>80</v>
      </c>
      <c r="H1" s="1" t="s">
        <v>76</v>
      </c>
      <c r="I1" s="1" t="s">
        <v>77</v>
      </c>
      <c r="J1" s="1" t="s">
        <v>78</v>
      </c>
      <c r="K1" s="1" t="s">
        <v>90</v>
      </c>
      <c r="L1" s="1" t="s">
        <v>91</v>
      </c>
      <c r="M1" s="1" t="s">
        <v>88</v>
      </c>
      <c r="N1" s="1" t="s">
        <v>89</v>
      </c>
      <c r="O1" s="1" t="s">
        <v>83</v>
      </c>
      <c r="P1" s="1" t="s">
        <v>84</v>
      </c>
      <c r="Q1" s="1" t="s">
        <v>85</v>
      </c>
      <c r="R1" s="1" t="s">
        <v>86</v>
      </c>
      <c r="S1" s="1" t="s">
        <v>87</v>
      </c>
      <c r="T1" s="1" t="s">
        <v>92</v>
      </c>
      <c r="U1" s="1" t="s">
        <v>93</v>
      </c>
    </row>
    <row r="2" spans="1:21" x14ac:dyDescent="0.25">
      <c r="A2" s="24" t="s">
        <v>75</v>
      </c>
      <c r="B2" s="16">
        <v>228.59094055013267</v>
      </c>
      <c r="C2" s="16">
        <v>228.59094055013267</v>
      </c>
      <c r="D2" s="16">
        <v>228.59094055013267</v>
      </c>
      <c r="E2" s="16">
        <v>228.59094055013267</v>
      </c>
      <c r="F2" s="16">
        <v>228.59094055013267</v>
      </c>
      <c r="G2" s="16">
        <v>228.59094055013267</v>
      </c>
      <c r="H2" s="16">
        <v>228.59094055013267</v>
      </c>
      <c r="I2" s="16">
        <v>228.59094055013267</v>
      </c>
      <c r="J2" s="16">
        <v>228.59094055013267</v>
      </c>
      <c r="K2" s="16">
        <v>228.59094055013267</v>
      </c>
      <c r="L2" s="16">
        <v>228.59094055013267</v>
      </c>
      <c r="M2" s="16">
        <v>228.59094055013267</v>
      </c>
      <c r="N2" s="16">
        <v>228.59094055013267</v>
      </c>
      <c r="O2" s="16">
        <v>228.59094055013267</v>
      </c>
      <c r="P2" s="16">
        <v>228.59094055013267</v>
      </c>
      <c r="Q2" s="16">
        <v>228.59094055013267</v>
      </c>
      <c r="R2" s="16">
        <v>228.59094055013267</v>
      </c>
      <c r="S2" s="16">
        <v>228.59094055013267</v>
      </c>
      <c r="T2" s="16">
        <v>228.59094055013267</v>
      </c>
      <c r="U2" s="16">
        <v>228.59094055013267</v>
      </c>
    </row>
    <row r="3" spans="1:21" x14ac:dyDescent="0.25">
      <c r="A3" s="24" t="s">
        <v>95</v>
      </c>
      <c r="B3" s="14">
        <v>188486.75</v>
      </c>
      <c r="C3" s="14">
        <v>16963.550000000003</v>
      </c>
      <c r="D3" s="14">
        <v>185291.28000000003</v>
      </c>
      <c r="E3" s="14">
        <f>D3</f>
        <v>185291.28000000003</v>
      </c>
      <c r="F3" s="14">
        <v>181260.46999999997</v>
      </c>
      <c r="G3" s="14">
        <v>181260.46999999997</v>
      </c>
      <c r="H3" s="19"/>
      <c r="I3" s="19"/>
      <c r="J3" s="19"/>
      <c r="K3" s="14">
        <v>174529.15500000003</v>
      </c>
      <c r="L3" s="14">
        <v>174529.15500000003</v>
      </c>
      <c r="M3" s="19"/>
      <c r="N3" s="19"/>
      <c r="O3" s="14">
        <v>14900.279999999999</v>
      </c>
      <c r="P3" s="14">
        <v>20442.190000000002</v>
      </c>
      <c r="Q3" s="14">
        <v>20594.839999999967</v>
      </c>
      <c r="R3" s="14">
        <v>20067.880000000005</v>
      </c>
      <c r="S3" s="14">
        <v>6201.3700000000099</v>
      </c>
      <c r="T3" s="14">
        <v>94277.674999999988</v>
      </c>
      <c r="U3" s="14">
        <v>94277.674999999988</v>
      </c>
    </row>
    <row r="4" spans="1:21" x14ac:dyDescent="0.25">
      <c r="A4" s="24" t="s">
        <v>70</v>
      </c>
      <c r="B4" s="15">
        <v>6.7403914590747496</v>
      </c>
      <c r="C4" s="15">
        <v>6.7403914590747496</v>
      </c>
      <c r="D4" s="15">
        <v>6.7403914590747496</v>
      </c>
      <c r="E4" s="15">
        <v>6.7403914590747496</v>
      </c>
      <c r="F4" s="15">
        <v>6.7403914590747496</v>
      </c>
      <c r="G4" s="15">
        <v>6.7403914590747496</v>
      </c>
      <c r="H4" s="15">
        <v>6.7403914590747496</v>
      </c>
      <c r="I4" s="15">
        <v>6.7403914590747496</v>
      </c>
      <c r="J4" s="15">
        <v>6.7403914590747496</v>
      </c>
      <c r="K4" s="15">
        <v>6.7403914590747496</v>
      </c>
      <c r="L4" s="15">
        <v>6.7403914590747496</v>
      </c>
      <c r="M4" s="15">
        <v>6.7403914590747496</v>
      </c>
      <c r="N4" s="15">
        <v>6.7403914590747496</v>
      </c>
      <c r="O4" s="15">
        <v>6.7403914590747496</v>
      </c>
      <c r="P4" s="15">
        <v>6.7403914590747496</v>
      </c>
      <c r="Q4" s="15">
        <v>6.7403914590747496</v>
      </c>
      <c r="R4" s="15">
        <v>6.7403914590747496</v>
      </c>
      <c r="S4" s="15">
        <v>6.7403914590747496</v>
      </c>
      <c r="T4" s="15">
        <v>6.7403914590747496</v>
      </c>
      <c r="U4" s="15">
        <v>6.7403914590747496</v>
      </c>
    </row>
    <row r="5" spans="1:21" x14ac:dyDescent="0.25">
      <c r="A5" s="24" t="s">
        <v>71</v>
      </c>
      <c r="B5" s="14">
        <v>317.04305443548418</v>
      </c>
      <c r="C5" s="14">
        <v>317.31173913043477</v>
      </c>
      <c r="D5" s="14">
        <v>0</v>
      </c>
      <c r="E5" s="14">
        <v>320.50032804232836</v>
      </c>
      <c r="F5" s="14">
        <v>61.429840871021824</v>
      </c>
      <c r="G5" s="14">
        <v>21</v>
      </c>
      <c r="H5" s="14">
        <v>99.25040622299062</v>
      </c>
      <c r="I5" s="14">
        <v>101.49653846153831</v>
      </c>
      <c r="J5" s="14">
        <v>101.08493256262042</v>
      </c>
      <c r="K5" s="14">
        <v>36.979860627177707</v>
      </c>
      <c r="L5" s="14">
        <v>37.089271111111124</v>
      </c>
      <c r="M5" s="14">
        <v>141.23576655052261</v>
      </c>
      <c r="N5" s="14">
        <v>132.21308444444443</v>
      </c>
      <c r="O5" s="14">
        <v>24.465819444444463</v>
      </c>
      <c r="P5" s="14">
        <v>31.050340277777778</v>
      </c>
      <c r="Q5" s="14">
        <v>29.935833333333331</v>
      </c>
      <c r="R5" s="14">
        <v>30.003069444444488</v>
      </c>
      <c r="S5" s="14">
        <v>13.295569444444464</v>
      </c>
      <c r="T5" s="14">
        <v>81.394210061782942</v>
      </c>
      <c r="U5" s="14">
        <v>82.620543187889453</v>
      </c>
    </row>
    <row r="6" spans="1:21" x14ac:dyDescent="0.25">
      <c r="A6" s="24" t="s">
        <v>72</v>
      </c>
      <c r="B6" s="13">
        <v>0.85</v>
      </c>
      <c r="C6" s="14">
        <v>0.85</v>
      </c>
      <c r="D6" s="14">
        <v>0.85</v>
      </c>
      <c r="E6" s="14">
        <v>0.85</v>
      </c>
      <c r="F6" s="14">
        <v>0.85</v>
      </c>
      <c r="G6" s="14">
        <v>0.85</v>
      </c>
      <c r="H6" s="14">
        <v>0.85</v>
      </c>
      <c r="I6" s="14">
        <v>0.85</v>
      </c>
      <c r="J6" s="14">
        <v>0.85</v>
      </c>
      <c r="K6" s="14">
        <v>0.85</v>
      </c>
      <c r="L6" s="14">
        <v>0.85</v>
      </c>
      <c r="M6" s="14">
        <v>0.85</v>
      </c>
      <c r="N6" s="14">
        <v>0.85</v>
      </c>
      <c r="O6" s="14">
        <v>0.85</v>
      </c>
      <c r="P6" s="14">
        <v>0.85</v>
      </c>
      <c r="Q6" s="14">
        <v>0.85</v>
      </c>
      <c r="R6" s="14">
        <v>0.85</v>
      </c>
      <c r="S6" s="14">
        <v>0.85</v>
      </c>
      <c r="T6" s="14">
        <v>0.85</v>
      </c>
      <c r="U6" s="14">
        <v>0.85</v>
      </c>
    </row>
    <row r="7" spans="1:21" x14ac:dyDescent="0.25">
      <c r="A7" s="24" t="s">
        <v>74</v>
      </c>
      <c r="B7" s="18">
        <v>489.93999999999983</v>
      </c>
      <c r="C7" s="18">
        <v>45.33</v>
      </c>
      <c r="D7" s="18">
        <v>0</v>
      </c>
      <c r="E7" s="18">
        <v>468</v>
      </c>
      <c r="F7" s="18">
        <v>595.67000000000007</v>
      </c>
      <c r="G7" s="18">
        <v>0.19999999999998863</v>
      </c>
      <c r="H7" s="18">
        <v>575.15999999999985</v>
      </c>
      <c r="I7" s="18">
        <v>489.83999999999992</v>
      </c>
      <c r="J7" s="18">
        <v>516.16000000000008</v>
      </c>
      <c r="K7" s="18">
        <v>573.10000000000014</v>
      </c>
      <c r="L7" s="18">
        <v>561.39999999999986</v>
      </c>
      <c r="M7" s="18">
        <v>573.25000000000023</v>
      </c>
      <c r="N7" s="18">
        <v>561.87999999999988</v>
      </c>
      <c r="O7" s="18">
        <v>437.76</v>
      </c>
      <c r="P7" s="18">
        <v>557.17000000000007</v>
      </c>
      <c r="Q7" s="18">
        <v>551.18000000000006</v>
      </c>
      <c r="R7" s="18">
        <v>547.60000000000014</v>
      </c>
      <c r="S7" s="18">
        <v>255.8599999999999</v>
      </c>
      <c r="T7" s="18">
        <v>565.84000000000015</v>
      </c>
      <c r="U7" s="18">
        <v>560.87999999999988</v>
      </c>
    </row>
    <row r="8" spans="1:21" x14ac:dyDescent="0.25">
      <c r="A8" s="24" t="s">
        <v>73</v>
      </c>
      <c r="B8" s="13">
        <v>1541391.9064787431</v>
      </c>
      <c r="C8" s="14">
        <v>142732.80196578105</v>
      </c>
      <c r="D8" s="14">
        <v>0</v>
      </c>
      <c r="E8" s="14">
        <v>1488422.6301297699</v>
      </c>
      <c r="F8" s="14">
        <v>363109.0317406843</v>
      </c>
      <c r="G8" s="14">
        <v>41.677458085406982</v>
      </c>
      <c r="H8" s="14">
        <v>566464.76471462206</v>
      </c>
      <c r="I8" s="14">
        <v>493352.58753823664</v>
      </c>
      <c r="J8" s="14">
        <v>517753.09588048427</v>
      </c>
      <c r="K8" s="14">
        <v>210304.03796911731</v>
      </c>
      <c r="L8" s="14">
        <v>206620.13446761292</v>
      </c>
      <c r="M8" s="14">
        <v>803416.39101947425</v>
      </c>
      <c r="N8" s="14">
        <v>737173.88897402131</v>
      </c>
      <c r="O8" s="14">
        <v>106279.07725165448</v>
      </c>
      <c r="P8" s="14">
        <v>171674.59099221718</v>
      </c>
      <c r="Q8" s="14">
        <v>163733.19471166958</v>
      </c>
      <c r="R8" s="14">
        <v>163035.07953722932</v>
      </c>
      <c r="S8" s="14">
        <v>33756.800051124228</v>
      </c>
      <c r="T8" s="14">
        <v>457024.08806717384</v>
      </c>
      <c r="U8" s="14">
        <v>459843.37402727391</v>
      </c>
    </row>
    <row r="9" spans="1:21" x14ac:dyDescent="0.25">
      <c r="A9" s="24" t="s">
        <v>68</v>
      </c>
      <c r="B9" s="21">
        <v>0.12228346938099054</v>
      </c>
      <c r="C9" s="22">
        <v>0.11884829391961958</v>
      </c>
      <c r="D9" s="22" t="s">
        <v>96</v>
      </c>
      <c r="E9" s="22">
        <v>0.12448835179551468</v>
      </c>
      <c r="F9" s="22">
        <v>0.49919019951408927</v>
      </c>
      <c r="G9" s="22">
        <v>4349.124882533727</v>
      </c>
      <c r="H9" s="22">
        <v>0</v>
      </c>
      <c r="I9" s="22">
        <v>0</v>
      </c>
      <c r="J9" s="22">
        <v>0</v>
      </c>
      <c r="K9" s="22">
        <v>0.82988970009995366</v>
      </c>
      <c r="L9" s="22">
        <v>0.84468609726588351</v>
      </c>
      <c r="M9" s="22">
        <v>0</v>
      </c>
      <c r="N9" s="22">
        <v>0</v>
      </c>
      <c r="O9" s="22">
        <v>0.14019956124306718</v>
      </c>
      <c r="P9" s="22">
        <v>0.11907522180103369</v>
      </c>
      <c r="Q9" s="22">
        <v>0.12578292408125921</v>
      </c>
      <c r="R9" s="22">
        <v>0.12308933793243847</v>
      </c>
      <c r="S9" s="22">
        <v>0.18370728240260087</v>
      </c>
      <c r="T9" s="22">
        <v>0.20628600868438901</v>
      </c>
      <c r="U9" s="22">
        <v>0.20502127534060816</v>
      </c>
    </row>
    <row r="12" spans="1:21" x14ac:dyDescent="0.25">
      <c r="B12" s="25" t="s">
        <v>100</v>
      </c>
      <c r="C12" s="25" t="s">
        <v>101</v>
      </c>
      <c r="D12" s="25" t="s">
        <v>102</v>
      </c>
      <c r="E12" s="25" t="s">
        <v>103</v>
      </c>
      <c r="F12" s="25" t="s">
        <v>104</v>
      </c>
      <c r="G12" s="25" t="s">
        <v>105</v>
      </c>
      <c r="H12" s="25" t="s">
        <v>106</v>
      </c>
    </row>
    <row r="13" spans="1:21" x14ac:dyDescent="0.25">
      <c r="A13" s="26" t="s">
        <v>98</v>
      </c>
      <c r="B13" s="20">
        <v>4900</v>
      </c>
      <c r="C13" s="20">
        <v>750</v>
      </c>
      <c r="D13" s="20">
        <v>1000</v>
      </c>
      <c r="E13" s="20">
        <v>1950</v>
      </c>
      <c r="F13" s="20">
        <v>850</v>
      </c>
      <c r="G13" s="20">
        <v>1300</v>
      </c>
      <c r="H13" s="20">
        <v>425</v>
      </c>
    </row>
    <row r="14" spans="1:21" x14ac:dyDescent="0.25">
      <c r="A14" s="26" t="s">
        <v>99</v>
      </c>
      <c r="B14" s="20">
        <v>530</v>
      </c>
      <c r="C14" s="20">
        <v>800</v>
      </c>
      <c r="D14" s="20">
        <v>12945</v>
      </c>
      <c r="E14" s="20">
        <f>(265*3600*0.821)/1000</f>
        <v>783.23400000000004</v>
      </c>
      <c r="F14" s="20">
        <f>(116*3600*1.0529)/1000</f>
        <v>439.69103999999999</v>
      </c>
      <c r="G14" s="20">
        <f>(83.5*3600*1.0529)/1000</f>
        <v>316.50173999999998</v>
      </c>
      <c r="H14" s="20">
        <v>47.2</v>
      </c>
    </row>
    <row r="15" spans="1:21" x14ac:dyDescent="0.25">
      <c r="A15" s="26" t="s">
        <v>97</v>
      </c>
      <c r="B15" s="23">
        <f>B14/B13</f>
        <v>0.10816326530612246</v>
      </c>
      <c r="C15" s="23">
        <f>C14/C13</f>
        <v>1.0666666666666667</v>
      </c>
      <c r="D15" s="23">
        <f>D14/D13</f>
        <v>12.945</v>
      </c>
      <c r="E15" s="23">
        <f t="shared" ref="E15:H15" si="0">E14/E13</f>
        <v>0.40165846153846158</v>
      </c>
      <c r="F15" s="23">
        <f t="shared" si="0"/>
        <v>0.5172835764705882</v>
      </c>
      <c r="G15" s="23">
        <f t="shared" si="0"/>
        <v>0.24346287692307692</v>
      </c>
      <c r="H15" s="23">
        <f t="shared" si="0"/>
        <v>0.11105882352941177</v>
      </c>
    </row>
    <row r="17" spans="2:22" x14ac:dyDescent="0.25">
      <c r="B17" s="27"/>
    </row>
    <row r="20" spans="2:22" x14ac:dyDescent="0.25"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</row>
    <row r="23" spans="2:22" x14ac:dyDescent="0.25">
      <c r="C23" s="12"/>
      <c r="D23" s="12"/>
      <c r="E23" s="12"/>
      <c r="F23" s="12"/>
      <c r="G23" s="12"/>
    </row>
    <row r="24" spans="2:22" x14ac:dyDescent="0.25">
      <c r="B24" s="3"/>
    </row>
    <row r="26" spans="2:22" x14ac:dyDescent="0.25">
      <c r="B26" s="17"/>
    </row>
    <row r="1445" spans="2:2" x14ac:dyDescent="0.25">
      <c r="B1445" s="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TrendFormatWide.rpt</vt:lpstr>
      <vt:lpstr>Read</vt:lpstr>
      <vt:lpstr>Sheet1</vt:lpstr>
      <vt:lpstr>Outcomes</vt:lpstr>
      <vt:lpstr>raw data</vt:lpstr>
      <vt:lpstr>Design</vt:lpstr>
      <vt:lpstr>Summary FL-PL-0.8FL</vt:lpstr>
      <vt:lpstr>1 month data calc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Sangeet Sarkar</dc:creator>
  <cp:lastModifiedBy>Sangeet Sarkar</cp:lastModifiedBy>
  <cp:lastPrinted>2021-02-15T06:41:06Z</cp:lastPrinted>
  <dcterms:created xsi:type="dcterms:W3CDTF">2020-10-07T04:46:29Z</dcterms:created>
  <dcterms:modified xsi:type="dcterms:W3CDTF">2021-05-28T11:10:24Z</dcterms:modified>
</cp:coreProperties>
</file>